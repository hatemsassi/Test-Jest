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ion" sheetId="1" state="visible" r:id="rId3"/>
    <sheet name="Parameters" sheetId="2" state="visible" r:id="rId4"/>
    <sheet name="Tables" sheetId="3" state="visible" r:id="rId5"/>
    <sheet name="Metho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<sst xmlns="http://schemas.openxmlformats.org/spreadsheetml/2006/main" count="194" uniqueCount="117">
  <si>
    <t xml:space="preserve">Projection 2027–2031</t>
  </si>
  <si>
    <t xml:space="preserve">Cumulative values at year end. Database = application tables (proportional to files) + Spring Batch (proportional to time, no purge) + fixed tables.</t>
  </si>
  <si>
    <t xml:space="preserve">Year</t>
  </si>
  <si>
    <t xml:space="preserve">Files in year</t>
  </si>
  <si>
    <t xml:space="preserve">Cumulative files</t>
  </si>
  <si>
    <t xml:space="preserve">Annual PDF volume – COS (GB)</t>
  </si>
  <si>
    <t xml:space="preserve">Cumulative PDF volume – COS (GB)</t>
  </si>
  <si>
    <t xml:space="preserve">Annual extraction JSON – COS (GB)</t>
  </si>
  <si>
    <t xml:space="preserve">Cumulative extraction JSON – COS (GB)</t>
  </si>
  <si>
    <t xml:space="preserve">Total cumulative COS (GB)</t>
  </si>
  <si>
    <t xml:space="preserve">Application data (MB)</t>
  </si>
  <si>
    <t xml:space="preserve">Application indexes (MB)</t>
  </si>
  <si>
    <t xml:space="preserve">Spring Batch without purge (MB)</t>
  </si>
  <si>
    <t xml:space="preserve">Fixed tables (MB)</t>
  </si>
  <si>
    <t xml:space="preserve">Total database size (MB)</t>
  </si>
  <si>
    <t xml:space="preserve">Total database size (GB)</t>
  </si>
  <si>
    <t xml:space="preserve">Projection parameters</t>
  </si>
  <si>
    <t xml:space="preserve">Yellow cells with blue text: editable assumptions. Everything else is calculated.</t>
  </si>
  <si>
    <t xml:space="preserve">Parameter</t>
  </si>
  <si>
    <t xml:space="preserve">Value</t>
  </si>
  <si>
    <t xml:space="preserve">Unit</t>
  </si>
  <si>
    <t xml:space="preserve">Source / comment</t>
  </si>
  <si>
    <t xml:space="preserve">PDF files per year (year 1)</t>
  </si>
  <si>
    <t xml:space="preserve">files</t>
  </si>
  <si>
    <t xml:space="preserve">Agreed assumption: 225,000 files per year</t>
  </si>
  <si>
    <t xml:space="preserve">Annual growth in number of files</t>
  </si>
  <si>
    <t xml:space="preserve">%</t>
  </si>
  <si>
    <t xml:space="preserve">0% = constant 225,000 files/year. Set to 10% to reproduce the previous scenario</t>
  </si>
  <si>
    <t xml:space="preserve">First projection year</t>
  </si>
  <si>
    <t xml:space="preserve">year</t>
  </si>
  <si>
    <t xml:space="preserve">Assumption</t>
  </si>
  <si>
    <t xml:space="preserve">Average PDF size</t>
  </si>
  <si>
    <t xml:space="preserve">MB</t>
  </si>
  <si>
    <t xml:space="preserve">Agreed assumption (to be confirmed: SELECT avg(size)/1048576 FROM metadata)</t>
  </si>
  <si>
    <t xml:space="preserve">Average size of an extraction JSON (COS)</t>
  </si>
  <si>
    <t xml:space="preserve">KB</t>
  </si>
  <si>
    <t xml:space="preserve">ASSUMPTION</t>
  </si>
  <si>
    <t xml:space="preserve">Files represented by current data</t>
  </si>
  <si>
    <t xml:space="preserve">Equals the metadata row count (1 row per PDF) in dev database on 30/10/2026</t>
  </si>
  <si>
    <t xml:space="preserve">Period covered by current Spring Batch data</t>
  </si>
  <si>
    <t xml:space="preserve">months</t>
  </si>
  <si>
    <t xml:space="preserve">TO BE CONFIRMED: SELECT min(create_time), max(create_time) FROM batch_job_execution</t>
  </si>
  <si>
    <t xml:space="preserve">Disk overhead factor (estimated tables)</t>
  </si>
  <si>
    <t xml:space="preserve">x</t>
  </si>
  <si>
    <t xml:space="preserve">Page headers, free space, dead tuples. Calibrated on batch tables (1.07 to 1.25)</t>
  </si>
  <si>
    <t xml:space="preserve">Row pointer (item pointer)</t>
  </si>
  <si>
    <t xml:space="preserve">bytes</t>
  </si>
  <si>
    <t xml:space="preserve">PostgreSQL constant</t>
  </si>
  <si>
    <t xml:space="preserve">Bytes per B-tree index entry (estimate)</t>
  </si>
  <si>
    <t xml:space="preserve">Average measured on single-index batch tables (25.8 to 26.7 bytes/row)</t>
  </si>
  <si>
    <t xml:space="preserve">Row threshold for using actual measurement</t>
  </si>
  <si>
    <t xml:space="preserve">rows</t>
  </si>
  <si>
    <t xml:space="preserve">Above: measured disk size / rows. Below: estimate (minimum 8 KB pages distort the measurement)</t>
  </si>
  <si>
    <t xml:space="preserve">Per-table measurements (schema own_87643_datacapture, dev database, 30/10/2026)</t>
  </si>
  <si>
    <t xml:space="preserve">Unit: 1 file for "Per file", 1 year for "Per year". Tables excluded on request: users, role, permission, role_permission, norm, users_photo (and users_role, same scope).</t>
  </si>
  <si>
    <t xml:space="preserve">Table</t>
  </si>
  <si>
    <t xml:space="preserve">Include</t>
  </si>
  <si>
    <t xml:space="preserve">Growth driver</t>
  </si>
  <si>
    <t xml:space="preserve">Current rows</t>
  </si>
  <si>
    <t xml:space="preserve">Avg row size (bytes)</t>
  </si>
  <si>
    <t xml:space="preserve">Max row size (bytes)</t>
  </si>
  <si>
    <t xml:space="preserve">Index count</t>
  </si>
  <si>
    <t xml:space="preserve">Current data on disk (bytes)</t>
  </si>
  <si>
    <t xml:space="preserve">Current indexes (bytes)</t>
  </si>
  <si>
    <t xml:space="preserve">Rows per unit</t>
  </si>
  <si>
    <t xml:space="preserve">Data per row on disk (bytes)</t>
  </si>
  <si>
    <t xml:space="preserve">Index per row (bytes)</t>
  </si>
  <si>
    <t xml:space="preserve">Calculation mode</t>
  </si>
  <si>
    <t xml:space="preserve">Data per unit (bytes)</t>
  </si>
  <si>
    <t xml:space="preserve">Index per unit (bytes)</t>
  </si>
  <si>
    <t xml:space="preserve">metadata</t>
  </si>
  <si>
    <t xml:space="preserve">Yes</t>
  </si>
  <si>
    <t xml:space="preserve">Per file</t>
  </si>
  <si>
    <t xml:space="preserve">submissions</t>
  </si>
  <si>
    <t xml:space="preserve">extraction_steps</t>
  </si>
  <si>
    <t xml:space="preserve">preprocessing_steps</t>
  </si>
  <si>
    <t xml:space="preserve">submission_status_history</t>
  </si>
  <si>
    <t xml:space="preserve">batch_job_instance</t>
  </si>
  <si>
    <t xml:space="preserve">Per year</t>
  </si>
  <si>
    <t xml:space="preserve">batch_job_execution</t>
  </si>
  <si>
    <t xml:space="preserve">batch_job_execution_params</t>
  </si>
  <si>
    <t xml:space="preserve">batch_job_execution_context</t>
  </si>
  <si>
    <t xml:space="preserve">batch_step_execution</t>
  </si>
  <si>
    <t xml:space="preserve">batch_step_execution_context</t>
  </si>
  <si>
    <t xml:space="preserve">flyway_schema_history</t>
  </si>
  <si>
    <t xml:space="preserve">Fixed</t>
  </si>
  <si>
    <t xml:space="preserve">n/a</t>
  </si>
  <si>
    <t xml:space="preserve">Measured</t>
  </si>
  <si>
    <t xml:space="preserve">users</t>
  </si>
  <si>
    <t xml:space="preserve">No</t>
  </si>
  <si>
    <t xml:space="preserve">users_role</t>
  </si>
  <si>
    <t xml:space="preserve">role</t>
  </si>
  <si>
    <t xml:space="preserve">permission</t>
  </si>
  <si>
    <t xml:space="preserve">role_permission</t>
  </si>
  <si>
    <t xml:space="preserve">norm</t>
  </si>
  <si>
    <t xml:space="preserve">users_photo</t>
  </si>
  <si>
    <t xml:space="preserve">Total per file (included tables)</t>
  </si>
  <si>
    <t xml:space="preserve">Total per year – Spring Batch (included tables)</t>
  </si>
  <si>
    <t xml:space="preserve">Total fixed tables (included tables)</t>
  </si>
  <si>
    <t xml:space="preserve">Calculation method</t>
  </si>
  <si>
    <t xml:space="preserve">1. Row size</t>
  </si>
  <si>
    <t xml:space="preserve">The actual size of each row is measured with pg_column_size, which includes the row header (≈ 24 bytes) and compressed TOAST data. The result (average and maximum) is reported in the Tables sheet.</t>
  </si>
  <si>
    <t xml:space="preserve">SELECT c.relname, c.reltuples::bigint AS row_count,
  (xpath('/row/v/text()', query_to_xml(format('SELECT round(avg(pg_column_size(t.*))) AS v FROM %I.%I t', n.nspname, c.relname), false, true, '')))[1]::text::numeric AS avg_row_bytes,
  (xpath('/row/m/text()', query_to_xml(format('SELECT max(pg_column_size(t.*)) AS m FROM %I.%I t', n.nspname, c.relname), false, true, '')))[1]::text::numeric AS max_row_bytes
FROM pg_class c JOIN pg_namespace n ON n.oid = c.relnamespace
WHERE c.relkind IN ('r','p') AND n.nspname = 'own_87643_datacapture'
ORDER BY avg_row_bytes DESC NULLS LAST;</t>
  </si>
  <si>
    <t xml:space="preserve">Disk usage per row: if the table has enough rows (threshold parameter), the actual measurement pg_relation_size / row count is used. Otherwise: (average size + 4-byte pointer) × overhead factor.</t>
  </si>
  <si>
    <t xml:space="preserve">2. Index size</t>
  </si>
  <si>
    <t xml:space="preserve">The exact allocated size of each index is measured with pg_relation_size (detail) and pg_indexes_size (total per table).</t>
  </si>
  <si>
    <t xml:space="preserve">SELECT c.relname, count(x.indexrelid) AS nb_index,
  pg_indexes_size(c.oid) AS index_bytes, pg_size_pretty(pg_indexes_size(c.oid)) AS index_size,
  pg_relation_size(c.oid) AS data_bytes,
  round(100.0 * pg_indexes_size(c.oid) / nullif(pg_relation_size(c.oid), 0), 1) AS index_pct_of_data
FROM pg_class c JOIN pg_namespace n ON n.oid = c.relnamespace
LEFT JOIN pg_index x ON x.indrelid = c.oid
WHERE c.relkind IN ('r','p') AND n.nspname = 'own_87643_datacapture'
GROUP BY c.oid, c.relname ORDER BY index_bytes DESC;</t>
  </si>
  <si>
    <t xml:space="preserve">Index per row: actual measurement (index size / rows) above the threshold, otherwise index count × bytes per B-tree entry. A B-tree index takes at least 16 KB, which distorts the measurement on small tables.</t>
  </si>
  <si>
    <t xml:space="preserve">3. Projection</t>
  </si>
  <si>
    <t xml:space="preserve">Application tables (metadata, submissions, extraction_steps, preprocessing_steps, submission_status_history): rows per file = current rows / files represented (metadata rows). Volume = cumulative files × bytes per file.</t>
  </si>
  <si>
    <t xml:space="preserve">Spring Batch tables: growth proportional to time. Rows per year = current rows × 12 / period covered (months). Cumulative volume without purge = elapsed years × bytes per year.</t>
  </si>
  <si>
    <t xml:space="preserve">Fixed tables (flyway_schema_history): current size, constant. Excluded tables: users, users_role, role, permission, role_permission, norm, users_photo.</t>
  </si>
  <si>
    <t xml:space="preserve">COS: PDF = files × average PDF size; JSON = files × average JSON size.</t>
  </si>
  <si>
    <t xml:space="preserve">4. Points to confirm</t>
  </si>
  <si>
    <t xml:space="preserve">• The period covered by batch data (parameter in months) drives the whole Spring Batch volume.</t>
  </si>
  <si>
    <t xml:space="preserve">• Per-file ratios come from the dev database (99 files). submission_status_history shows ≈ 73 rows per file there, probably inflated by testing; to be revalidated on a representative environment.</t>
  </si>
  <si>
    <t xml:space="preserve">• No Spring Batch purge is modelled.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</si>
</sst>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"/>
    <numFmt numFmtId="167" formatCode="#,##0.0"/>
    <numFmt numFmtId="168" formatCode="0.0%"/>
    <numFmt numFmtId="169" formatCode="0.00"/>
    <numFmt numFmtId="170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9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EEF5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8EE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3"/>
    <col collapsed="false" customWidth="true" hidden="false" outlineLevel="0" max="7" min="4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f aca="false">Parameters!$B$7</f>
        <v>2027</v>
      </c>
      <c r="B5" s="5" t="n">
        <f aca="false">Parameters!$B$5</f>
        <v>225000</v>
      </c>
      <c r="C5" s="5" t="n">
        <f aca="false">B5</f>
        <v>225000</v>
      </c>
      <c r="D5" s="6" t="n">
        <f aca="false">B5*Parameters!$B$8/1024</f>
        <v>439.453125</v>
      </c>
      <c r="E5" s="6" t="n">
        <f aca="false">D5</f>
        <v>439.453125</v>
      </c>
      <c r="F5" s="6" t="n">
        <f aca="false">B5*Parameters!$B$9/1024/1024</f>
        <v>6.43730163574219</v>
      </c>
      <c r="G5" s="6" t="n">
        <f aca="false">F5</f>
        <v>6.43730163574219</v>
      </c>
      <c r="H5" s="7" t="n">
        <f aca="false">E5+G5</f>
        <v>445.890426635742</v>
      </c>
      <c r="I5" s="6" t="n">
        <f aca="false">C5*Tables!$N$25/1048576</f>
        <v>2223.60264171254</v>
      </c>
      <c r="J5" s="6" t="n">
        <f aca="false">C5*Tables!$O$25/1048576</f>
        <v>1546.46743427623</v>
      </c>
      <c r="K5" s="6" t="n">
        <f aca="false">(A5-Parameters!$B$7+1)*(Tables!$N$26+Tables!$O$26)/1048576</f>
        <v>58.9453125</v>
      </c>
      <c r="L5" s="6" t="n">
        <f aca="false">(Tables!$N$27+Tables!$O$27)/1048576</f>
        <v>0.0390625</v>
      </c>
      <c r="M5" s="7" t="n">
        <f aca="false">I5+J5+K5+L5</f>
        <v>3829.05445098877</v>
      </c>
      <c r="N5" s="7" t="n">
        <f aca="false">M5/1024</f>
        <v>3.73931098729372</v>
      </c>
    </row>
    <row r="6" customFormat="false" ht="15" hidden="false" customHeight="false" outlineLevel="0" collapsed="false">
      <c r="A6" s="4" t="n">
        <f aca="false">A5+1</f>
        <v>2028</v>
      </c>
      <c r="B6" s="5" t="n">
        <f aca="false">B5*(1+Parameters!$B$6)</f>
        <v>225000</v>
      </c>
      <c r="C6" s="5" t="n">
        <f aca="false">C5+B6</f>
        <v>450000</v>
      </c>
      <c r="D6" s="6" t="n">
        <f aca="false">B6*Parameters!$B$8/1024</f>
        <v>439.453125</v>
      </c>
      <c r="E6" s="6" t="n">
        <f aca="false">E5+D6</f>
        <v>878.90625</v>
      </c>
      <c r="F6" s="6" t="n">
        <f aca="false">B6*Parameters!$B$9/1024/1024</f>
        <v>6.43730163574219</v>
      </c>
      <c r="G6" s="6" t="n">
        <f aca="false">G5+F6</f>
        <v>12.8746032714844</v>
      </c>
      <c r="H6" s="7" t="n">
        <f aca="false">E6+G6</f>
        <v>891.780853271484</v>
      </c>
      <c r="I6" s="6" t="n">
        <f aca="false">C6*Tables!$N$25/1048576</f>
        <v>4447.20528342507</v>
      </c>
      <c r="J6" s="6" t="n">
        <f aca="false">C6*Tables!$O$25/1048576</f>
        <v>3092.93486855247</v>
      </c>
      <c r="K6" s="6" t="n">
        <f aca="false">(A6-Parameters!$B$7+1)*(Tables!$N$26+Tables!$O$26)/1048576</f>
        <v>117.890625</v>
      </c>
      <c r="L6" s="6" t="n">
        <f aca="false">(Tables!$N$27+Tables!$O$27)/1048576</f>
        <v>0.0390625</v>
      </c>
      <c r="M6" s="7" t="n">
        <f aca="false">I6+J6+K6+L6</f>
        <v>7658.06983947754</v>
      </c>
      <c r="N6" s="7" t="n">
        <f aca="false">M6/1024</f>
        <v>7.47858382761478</v>
      </c>
    </row>
    <row r="7" customFormat="false" ht="15" hidden="false" customHeight="false" outlineLevel="0" collapsed="false">
      <c r="A7" s="4" t="n">
        <f aca="false">A6+1</f>
        <v>2029</v>
      </c>
      <c r="B7" s="5" t="n">
        <f aca="false">B6*(1+Parameters!$B$6)</f>
        <v>225000</v>
      </c>
      <c r="C7" s="5" t="n">
        <f aca="false">C6+B7</f>
        <v>675000</v>
      </c>
      <c r="D7" s="6" t="n">
        <f aca="false">B7*Parameters!$B$8/1024</f>
        <v>439.453125</v>
      </c>
      <c r="E7" s="6" t="n">
        <f aca="false">E6+D7</f>
        <v>1318.359375</v>
      </c>
      <c r="F7" s="6" t="n">
        <f aca="false">B7*Parameters!$B$9/1024/1024</f>
        <v>6.43730163574219</v>
      </c>
      <c r="G7" s="6" t="n">
        <f aca="false">G6+F7</f>
        <v>19.3119049072266</v>
      </c>
      <c r="H7" s="7" t="n">
        <f aca="false">E7+G7</f>
        <v>1337.67127990723</v>
      </c>
      <c r="I7" s="6" t="n">
        <f aca="false">C7*Tables!$N$25/1048576</f>
        <v>6670.80792513761</v>
      </c>
      <c r="J7" s="6" t="n">
        <f aca="false">C7*Tables!$O$25/1048576</f>
        <v>4639.4023028287</v>
      </c>
      <c r="K7" s="6" t="n">
        <f aca="false">(A7-Parameters!$B$7+1)*(Tables!$N$26+Tables!$O$26)/1048576</f>
        <v>176.8359375</v>
      </c>
      <c r="L7" s="6" t="n">
        <f aca="false">(Tables!$N$27+Tables!$O$27)/1048576</f>
        <v>0.0390625</v>
      </c>
      <c r="M7" s="7" t="n">
        <f aca="false">I7+J7+K7+L7</f>
        <v>11487.0852279663</v>
      </c>
      <c r="N7" s="7" t="n">
        <f aca="false">M7/1024</f>
        <v>11.2178566679358</v>
      </c>
    </row>
    <row r="8" customFormat="false" ht="15" hidden="false" customHeight="false" outlineLevel="0" collapsed="false">
      <c r="A8" s="4" t="n">
        <f aca="false">A7+1</f>
        <v>2030</v>
      </c>
      <c r="B8" s="5" t="n">
        <f aca="false">B7*(1+Parameters!$B$6)</f>
        <v>225000</v>
      </c>
      <c r="C8" s="5" t="n">
        <f aca="false">C7+B8</f>
        <v>900000</v>
      </c>
      <c r="D8" s="6" t="n">
        <f aca="false">B8*Parameters!$B$8/1024</f>
        <v>439.453125</v>
      </c>
      <c r="E8" s="6" t="n">
        <f aca="false">E7+D8</f>
        <v>1757.8125</v>
      </c>
      <c r="F8" s="6" t="n">
        <f aca="false">B8*Parameters!$B$9/1024/1024</f>
        <v>6.43730163574219</v>
      </c>
      <c r="G8" s="6" t="n">
        <f aca="false">G7+F8</f>
        <v>25.7492065429688</v>
      </c>
      <c r="H8" s="7" t="n">
        <f aca="false">E8+G8</f>
        <v>1783.56170654297</v>
      </c>
      <c r="I8" s="6" t="n">
        <f aca="false">C8*Tables!$N$25/1048576</f>
        <v>8894.41056685014</v>
      </c>
      <c r="J8" s="6" t="n">
        <f aca="false">C8*Tables!$O$25/1048576</f>
        <v>6185.86973710494</v>
      </c>
      <c r="K8" s="6" t="n">
        <f aca="false">(A8-Parameters!$B$7+1)*(Tables!$N$26+Tables!$O$26)/1048576</f>
        <v>235.78125</v>
      </c>
      <c r="L8" s="6" t="n">
        <f aca="false">(Tables!$N$27+Tables!$O$27)/1048576</f>
        <v>0.0390625</v>
      </c>
      <c r="M8" s="7" t="n">
        <f aca="false">I8+J8+K8+L8</f>
        <v>15316.1006164551</v>
      </c>
      <c r="N8" s="7" t="n">
        <f aca="false">M8/1024</f>
        <v>14.9571295082569</v>
      </c>
    </row>
    <row r="9" customFormat="false" ht="15" hidden="false" customHeight="false" outlineLevel="0" collapsed="false">
      <c r="A9" s="4" t="n">
        <f aca="false">A8+1</f>
        <v>2031</v>
      </c>
      <c r="B9" s="5" t="n">
        <f aca="false">B8*(1+Parameters!$B$6)</f>
        <v>225000</v>
      </c>
      <c r="C9" s="5" t="n">
        <f aca="false">C8+B9</f>
        <v>1125000</v>
      </c>
      <c r="D9" s="6" t="n">
        <f aca="false">B9*Parameters!$B$8/1024</f>
        <v>439.453125</v>
      </c>
      <c r="E9" s="6" t="n">
        <f aca="false">E8+D9</f>
        <v>2197.265625</v>
      </c>
      <c r="F9" s="6" t="n">
        <f aca="false">B9*Parameters!$B$9/1024/1024</f>
        <v>6.43730163574219</v>
      </c>
      <c r="G9" s="6" t="n">
        <f aca="false">G8+F9</f>
        <v>32.1865081787109</v>
      </c>
      <c r="H9" s="7" t="n">
        <f aca="false">E9+G9</f>
        <v>2229.45213317871</v>
      </c>
      <c r="I9" s="6" t="n">
        <f aca="false">C9*Tables!$N$25/1048576</f>
        <v>11118.0132085627</v>
      </c>
      <c r="J9" s="6" t="n">
        <f aca="false">C9*Tables!$O$25/1048576</f>
        <v>7732.33717138117</v>
      </c>
      <c r="K9" s="6" t="n">
        <f aca="false">(A9-Parameters!$B$7+1)*(Tables!$N$26+Tables!$O$26)/1048576</f>
        <v>294.7265625</v>
      </c>
      <c r="L9" s="6" t="n">
        <f aca="false">(Tables!$N$27+Tables!$O$27)/1048576</f>
        <v>0.0390625</v>
      </c>
      <c r="M9" s="7" t="n">
        <f aca="false">I9+J9+K9+L9</f>
        <v>19145.1160049438</v>
      </c>
      <c r="N9" s="7" t="n">
        <f aca="false">M9/1024</f>
        <v>18.696402348578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45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21</v>
      </c>
    </row>
    <row r="5" customFormat="false" ht="15" hidden="false" customHeight="false" outlineLevel="0" collapsed="false">
      <c r="A5" s="8" t="s">
        <v>22</v>
      </c>
      <c r="B5" s="9" t="n">
        <v>225000</v>
      </c>
      <c r="C5" s="8" t="s">
        <v>23</v>
      </c>
      <c r="D5" s="10" t="s">
        <v>24</v>
      </c>
    </row>
    <row r="6" customFormat="false" ht="15" hidden="false" customHeight="false" outlineLevel="0" collapsed="false">
      <c r="A6" s="8" t="s">
        <v>25</v>
      </c>
      <c r="B6" s="11" t="n">
        <v>0</v>
      </c>
      <c r="C6" s="8" t="s">
        <v>26</v>
      </c>
      <c r="D6" s="10" t="s">
        <v>27</v>
      </c>
    </row>
    <row r="7" customFormat="false" ht="15" hidden="false" customHeight="false" outlineLevel="0" collapsed="false">
      <c r="A7" s="8" t="s">
        <v>28</v>
      </c>
      <c r="B7" s="12" t="n">
        <v>2027</v>
      </c>
      <c r="C7" s="8" t="s">
        <v>29</v>
      </c>
      <c r="D7" s="10" t="s">
        <v>30</v>
      </c>
    </row>
    <row r="8" customFormat="false" ht="15" hidden="false" customHeight="false" outlineLevel="0" collapsed="false">
      <c r="A8" s="8" t="s">
        <v>31</v>
      </c>
      <c r="B8" s="13" t="n">
        <v>2</v>
      </c>
      <c r="C8" s="8" t="s">
        <v>32</v>
      </c>
      <c r="D8" s="10" t="s">
        <v>33</v>
      </c>
    </row>
    <row r="9" customFormat="false" ht="15" hidden="false" customHeight="false" outlineLevel="0" collapsed="false">
      <c r="A9" s="8" t="s">
        <v>34</v>
      </c>
      <c r="B9" s="9" t="n">
        <v>30</v>
      </c>
      <c r="C9" s="8" t="s">
        <v>35</v>
      </c>
      <c r="D9" s="10" t="s">
        <v>36</v>
      </c>
    </row>
    <row r="10" customFormat="false" ht="15" hidden="false" customHeight="false" outlineLevel="0" collapsed="false">
      <c r="A10" s="8" t="s">
        <v>37</v>
      </c>
      <c r="B10" s="9" t="n">
        <v>99</v>
      </c>
      <c r="C10" s="8" t="s">
        <v>23</v>
      </c>
      <c r="D10" s="10" t="s">
        <v>38</v>
      </c>
    </row>
    <row r="11" customFormat="false" ht="15" hidden="false" customHeight="false" outlineLevel="0" collapsed="false">
      <c r="A11" s="8" t="s">
        <v>39</v>
      </c>
      <c r="B11" s="9" t="n">
        <v>12</v>
      </c>
      <c r="C11" s="8" t="s">
        <v>40</v>
      </c>
      <c r="D11" s="10" t="s">
        <v>41</v>
      </c>
    </row>
    <row r="12" customFormat="false" ht="15" hidden="false" customHeight="false" outlineLevel="0" collapsed="false">
      <c r="A12" s="8" t="s">
        <v>42</v>
      </c>
      <c r="B12" s="13" t="n">
        <v>1.2</v>
      </c>
      <c r="C12" s="8" t="s">
        <v>43</v>
      </c>
      <c r="D12" s="10" t="s">
        <v>44</v>
      </c>
    </row>
    <row r="13" customFormat="false" ht="15" hidden="false" customHeight="false" outlineLevel="0" collapsed="false">
      <c r="A13" s="8" t="s">
        <v>45</v>
      </c>
      <c r="B13" s="9" t="n">
        <v>4</v>
      </c>
      <c r="C13" s="8" t="s">
        <v>46</v>
      </c>
      <c r="D13" s="10" t="s">
        <v>47</v>
      </c>
    </row>
    <row r="14" customFormat="false" ht="15" hidden="false" customHeight="false" outlineLevel="0" collapsed="false">
      <c r="A14" s="8" t="s">
        <v>48</v>
      </c>
      <c r="B14" s="9" t="n">
        <v>27</v>
      </c>
      <c r="C14" s="8" t="s">
        <v>46</v>
      </c>
      <c r="D14" s="10" t="s">
        <v>49</v>
      </c>
    </row>
    <row r="15" customFormat="false" ht="15" hidden="false" customHeight="false" outlineLevel="0" collapsed="false">
      <c r="A15" s="8" t="s">
        <v>50</v>
      </c>
      <c r="B15" s="9" t="n">
        <v>5000</v>
      </c>
      <c r="C15" s="8" t="s">
        <v>51</v>
      </c>
      <c r="D15" s="1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3" min="12" style="0" width="12"/>
    <col collapsed="false" customWidth="true" hidden="false" outlineLevel="0" max="15" min="14" style="0" width="14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45" hidden="false" customHeight="true" outlineLevel="0" collapsed="false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  <c r="K4" s="3" t="s">
        <v>65</v>
      </c>
      <c r="L4" s="3" t="s">
        <v>66</v>
      </c>
      <c r="M4" s="3" t="s">
        <v>67</v>
      </c>
      <c r="N4" s="3" t="s">
        <v>68</v>
      </c>
      <c r="O4" s="3" t="s">
        <v>69</v>
      </c>
    </row>
    <row r="5" customFormat="false" ht="15" hidden="false" customHeight="false" outlineLevel="0" collapsed="false">
      <c r="A5" s="14" t="s">
        <v>70</v>
      </c>
      <c r="B5" s="15" t="s">
        <v>71</v>
      </c>
      <c r="C5" s="15" t="s">
        <v>72</v>
      </c>
      <c r="D5" s="16" t="n">
        <v>99</v>
      </c>
      <c r="E5" s="16" t="n">
        <v>77</v>
      </c>
      <c r="F5" s="16" t="n">
        <v>80</v>
      </c>
      <c r="G5" s="16" t="n">
        <v>4</v>
      </c>
      <c r="H5" s="16" t="n">
        <v>16384</v>
      </c>
      <c r="I5" s="16" t="n">
        <v>65536</v>
      </c>
      <c r="J5" s="17" t="n">
        <f aca="false">D5/Parameters!$B$10</f>
        <v>1</v>
      </c>
      <c r="K5" s="18" t="n">
        <f aca="false">IF(D5&gt;=Parameters!$B$15,H5/D5,(E5+Parameters!$B$13)*Parameters!$B$12)</f>
        <v>97.2</v>
      </c>
      <c r="L5" s="18" t="n">
        <f aca="false">IF(D5&gt;=Parameters!$B$15,I5/D5,G5*Parameters!$B$14)</f>
        <v>108</v>
      </c>
      <c r="M5" s="19" t="str">
        <f aca="false">IF(D5&gt;=Parameters!$B$15,"Measured","Estimated")</f>
        <v>Estimated</v>
      </c>
      <c r="N5" s="20" t="n">
        <f aca="false">IF(B5="Yes",J5*K5,0)</f>
        <v>97.2</v>
      </c>
      <c r="O5" s="20" t="n">
        <f aca="false">IF(B5="Yes",J5*L5,0)</f>
        <v>108</v>
      </c>
    </row>
    <row r="6" customFormat="false" ht="15" hidden="false" customHeight="false" outlineLevel="0" collapsed="false">
      <c r="A6" s="14" t="s">
        <v>73</v>
      </c>
      <c r="B6" s="15" t="s">
        <v>71</v>
      </c>
      <c r="C6" s="15" t="s">
        <v>72</v>
      </c>
      <c r="D6" s="16" t="n">
        <v>127</v>
      </c>
      <c r="E6" s="16" t="n">
        <v>245</v>
      </c>
      <c r="F6" s="16" t="n">
        <v>264</v>
      </c>
      <c r="G6" s="16" t="n">
        <v>6</v>
      </c>
      <c r="H6" s="16" t="n">
        <v>49152</v>
      </c>
      <c r="I6" s="16" t="n">
        <v>98304</v>
      </c>
      <c r="J6" s="17" t="n">
        <f aca="false">D6/Parameters!$B$10</f>
        <v>1.28282828282828</v>
      </c>
      <c r="K6" s="18" t="n">
        <f aca="false">IF(D6&gt;=Parameters!$B$15,H6/D6,(E6+Parameters!$B$13)*Parameters!$B$12)</f>
        <v>298.8</v>
      </c>
      <c r="L6" s="18" t="n">
        <f aca="false">IF(D6&gt;=Parameters!$B$15,I6/D6,G6*Parameters!$B$14)</f>
        <v>162</v>
      </c>
      <c r="M6" s="19" t="str">
        <f aca="false">IF(D6&gt;=Parameters!$B$15,"Measured","Estimated")</f>
        <v>Estimated</v>
      </c>
      <c r="N6" s="20" t="n">
        <f aca="false">IF(B6="Yes",J6*K6,0)</f>
        <v>383.309090909091</v>
      </c>
      <c r="O6" s="20" t="n">
        <f aca="false">IF(B6="Yes",J6*L6,0)</f>
        <v>207.818181818182</v>
      </c>
    </row>
    <row r="7" customFormat="false" ht="15" hidden="false" customHeight="false" outlineLevel="0" collapsed="false">
      <c r="A7" s="14" t="s">
        <v>74</v>
      </c>
      <c r="B7" s="15" t="s">
        <v>71</v>
      </c>
      <c r="C7" s="15" t="s">
        <v>72</v>
      </c>
      <c r="D7" s="16" t="n">
        <v>2551</v>
      </c>
      <c r="E7" s="16" t="n">
        <v>85</v>
      </c>
      <c r="F7" s="16" t="n">
        <v>133</v>
      </c>
      <c r="G7" s="16" t="n">
        <v>2</v>
      </c>
      <c r="H7" s="16" t="n">
        <v>262144</v>
      </c>
      <c r="I7" s="16" t="n">
        <v>155648</v>
      </c>
      <c r="J7" s="17" t="n">
        <f aca="false">D7/Parameters!$B$10</f>
        <v>25.7676767676768</v>
      </c>
      <c r="K7" s="18" t="n">
        <f aca="false">IF(D7&gt;=Parameters!$B$15,H7/D7,(E7+Parameters!$B$13)*Parameters!$B$12)</f>
        <v>106.8</v>
      </c>
      <c r="L7" s="18" t="n">
        <f aca="false">IF(D7&gt;=Parameters!$B$15,I7/D7,G7*Parameters!$B$14)</f>
        <v>54</v>
      </c>
      <c r="M7" s="19" t="str">
        <f aca="false">IF(D7&gt;=Parameters!$B$15,"Measured","Estimated")</f>
        <v>Estimated</v>
      </c>
      <c r="N7" s="20" t="n">
        <f aca="false">IF(B7="Yes",J7*K7,0)</f>
        <v>2751.98787878788</v>
      </c>
      <c r="O7" s="20" t="n">
        <f aca="false">IF(B7="Yes",J7*L7,0)</f>
        <v>1391.45454545455</v>
      </c>
    </row>
    <row r="8" customFormat="false" ht="15" hidden="false" customHeight="false" outlineLevel="0" collapsed="false">
      <c r="A8" s="14" t="s">
        <v>75</v>
      </c>
      <c r="B8" s="15" t="s">
        <v>71</v>
      </c>
      <c r="C8" s="15" t="s">
        <v>72</v>
      </c>
      <c r="D8" s="16" t="n">
        <v>141</v>
      </c>
      <c r="E8" s="16" t="n">
        <v>101</v>
      </c>
      <c r="F8" s="16" t="n">
        <v>194</v>
      </c>
      <c r="G8" s="16" t="n">
        <v>1</v>
      </c>
      <c r="H8" s="16" t="n">
        <v>16384</v>
      </c>
      <c r="I8" s="16" t="n">
        <v>16384</v>
      </c>
      <c r="J8" s="17" t="n">
        <f aca="false">D8/Parameters!$B$10</f>
        <v>1.42424242424242</v>
      </c>
      <c r="K8" s="18" t="n">
        <f aca="false">IF(D8&gt;=Parameters!$B$15,H8/D8,(E8+Parameters!$B$13)*Parameters!$B$12)</f>
        <v>126</v>
      </c>
      <c r="L8" s="18" t="n">
        <f aca="false">IF(D8&gt;=Parameters!$B$15,I8/D8,G8*Parameters!$B$14)</f>
        <v>27</v>
      </c>
      <c r="M8" s="19" t="str">
        <f aca="false">IF(D8&gt;=Parameters!$B$15,"Measured","Estimated")</f>
        <v>Estimated</v>
      </c>
      <c r="N8" s="20" t="n">
        <f aca="false">IF(B8="Yes",J8*K8,0)</f>
        <v>179.454545454545</v>
      </c>
      <c r="O8" s="20" t="n">
        <f aca="false">IF(B8="Yes",J8*L8,0)</f>
        <v>38.4545454545455</v>
      </c>
    </row>
    <row r="9" customFormat="false" ht="15" hidden="false" customHeight="false" outlineLevel="0" collapsed="false">
      <c r="A9" s="14" t="s">
        <v>76</v>
      </c>
      <c r="B9" s="15" t="s">
        <v>71</v>
      </c>
      <c r="C9" s="15" t="s">
        <v>72</v>
      </c>
      <c r="D9" s="16" t="n">
        <v>7266</v>
      </c>
      <c r="E9" s="16" t="n">
        <v>65</v>
      </c>
      <c r="F9" s="16" t="n">
        <v>88</v>
      </c>
      <c r="G9" s="16" t="n">
        <v>4</v>
      </c>
      <c r="H9" s="16" t="n">
        <v>688128</v>
      </c>
      <c r="I9" s="16" t="n">
        <v>540672</v>
      </c>
      <c r="J9" s="17" t="n">
        <f aca="false">D9/Parameters!$B$10</f>
        <v>73.3939393939394</v>
      </c>
      <c r="K9" s="18" t="n">
        <f aca="false">IF(D9&gt;=Parameters!$B$15,H9/D9,(E9+Parameters!$B$13)*Parameters!$B$12)</f>
        <v>94.7052023121387</v>
      </c>
      <c r="L9" s="18" t="n">
        <f aca="false">IF(D9&gt;=Parameters!$B$15,I9/D9,G9*Parameters!$B$14)</f>
        <v>74.411230388109</v>
      </c>
      <c r="M9" s="19" t="str">
        <f aca="false">IF(D9&gt;=Parameters!$B$15,"Measured","Estimated")</f>
        <v>Measured</v>
      </c>
      <c r="N9" s="20" t="n">
        <f aca="false">IF(B9="Yes",J9*K9,0)</f>
        <v>6950.78787878788</v>
      </c>
      <c r="O9" s="20" t="n">
        <f aca="false">IF(B9="Yes",J9*L9,0)</f>
        <v>5461.33333333333</v>
      </c>
    </row>
    <row r="10" customFormat="false" ht="15" hidden="false" customHeight="false" outlineLevel="0" collapsed="false">
      <c r="A10" s="14" t="s">
        <v>77</v>
      </c>
      <c r="B10" s="15" t="s">
        <v>71</v>
      </c>
      <c r="C10" s="15" t="s">
        <v>78</v>
      </c>
      <c r="D10" s="16" t="n">
        <v>21116</v>
      </c>
      <c r="E10" s="16" t="n">
        <v>104</v>
      </c>
      <c r="F10" s="16" t="n">
        <v>104</v>
      </c>
      <c r="G10" s="16" t="n">
        <v>2</v>
      </c>
      <c r="H10" s="16" t="n">
        <v>2580480</v>
      </c>
      <c r="I10" s="16" t="n">
        <v>3227648</v>
      </c>
      <c r="J10" s="20" t="n">
        <f aca="false">D10*12/Parameters!$B$11</f>
        <v>21116</v>
      </c>
      <c r="K10" s="18" t="n">
        <f aca="false">IF(D10&gt;=Parameters!$B$15,H10/D10,(E10+Parameters!$B$13)*Parameters!$B$12)</f>
        <v>122.204963061186</v>
      </c>
      <c r="L10" s="18" t="n">
        <f aca="false">IF(D10&gt;=Parameters!$B$15,I10/D10,G10*Parameters!$B$14)</f>
        <v>152.853191892404</v>
      </c>
      <c r="M10" s="19" t="str">
        <f aca="false">IF(D10&gt;=Parameters!$B$15,"Measured","Estimated")</f>
        <v>Measured</v>
      </c>
      <c r="N10" s="20" t="n">
        <f aca="false">IF(B10="Yes",J10*K10,0)</f>
        <v>2580480</v>
      </c>
      <c r="O10" s="20" t="n">
        <f aca="false">IF(B10="Yes",J10*L10,0)</f>
        <v>3227648</v>
      </c>
    </row>
    <row r="11" customFormat="false" ht="15" hidden="false" customHeight="false" outlineLevel="0" collapsed="false">
      <c r="A11" s="14" t="s">
        <v>79</v>
      </c>
      <c r="B11" s="15" t="s">
        <v>71</v>
      </c>
      <c r="C11" s="15" t="s">
        <v>78</v>
      </c>
      <c r="D11" s="16" t="n">
        <v>23438</v>
      </c>
      <c r="E11" s="16" t="n">
        <v>424</v>
      </c>
      <c r="F11" s="16" t="n">
        <v>1000</v>
      </c>
      <c r="G11" s="16" t="n">
        <v>1</v>
      </c>
      <c r="H11" s="16" t="n">
        <v>10739712</v>
      </c>
      <c r="I11" s="16" t="n">
        <v>614400</v>
      </c>
      <c r="J11" s="20" t="n">
        <f aca="false">D11*12/Parameters!$B$11</f>
        <v>23438</v>
      </c>
      <c r="K11" s="18" t="n">
        <f aca="false">IF(D11&gt;=Parameters!$B$15,H11/D11,(E11+Parameters!$B$13)*Parameters!$B$12)</f>
        <v>458.217936684017</v>
      </c>
      <c r="L11" s="18" t="n">
        <f aca="false">IF(D11&gt;=Parameters!$B$15,I11/D11,G11*Parameters!$B$14)</f>
        <v>26.2138407713969</v>
      </c>
      <c r="M11" s="19" t="str">
        <f aca="false">IF(D11&gt;=Parameters!$B$15,"Measured","Estimated")</f>
        <v>Measured</v>
      </c>
      <c r="N11" s="20" t="n">
        <f aca="false">IF(B11="Yes",J11*K11,0)</f>
        <v>10739712</v>
      </c>
      <c r="O11" s="20" t="n">
        <f aca="false">IF(B11="Yes",J11*L11,0)</f>
        <v>614400</v>
      </c>
    </row>
    <row r="12" customFormat="false" ht="15" hidden="false" customHeight="false" outlineLevel="0" collapsed="false">
      <c r="A12" s="14" t="s">
        <v>80</v>
      </c>
      <c r="B12" s="15" t="s">
        <v>71</v>
      </c>
      <c r="C12" s="15" t="s">
        <v>78</v>
      </c>
      <c r="D12" s="16" t="n">
        <v>46210</v>
      </c>
      <c r="E12" s="16" t="n">
        <v>69</v>
      </c>
      <c r="F12" s="16" t="n">
        <v>73</v>
      </c>
      <c r="G12" s="16" t="n">
        <v>0</v>
      </c>
      <c r="H12" s="16" t="n">
        <v>3866624</v>
      </c>
      <c r="I12" s="16" t="n">
        <v>0</v>
      </c>
      <c r="J12" s="20" t="n">
        <f aca="false">D12*12/Parameters!$B$11</f>
        <v>46210</v>
      </c>
      <c r="K12" s="18" t="n">
        <f aca="false">IF(D12&gt;=Parameters!$B$15,H12/D12,(E12+Parameters!$B$13)*Parameters!$B$12)</f>
        <v>83.6750486907596</v>
      </c>
      <c r="L12" s="18" t="n">
        <f aca="false">IF(D12&gt;=Parameters!$B$15,I12/D12,G12*Parameters!$B$14)</f>
        <v>0</v>
      </c>
      <c r="M12" s="19" t="str">
        <f aca="false">IF(D12&gt;=Parameters!$B$15,"Measured","Estimated")</f>
        <v>Measured</v>
      </c>
      <c r="N12" s="20" t="n">
        <f aca="false">IF(B12="Yes",J12*K12,0)</f>
        <v>3866624</v>
      </c>
      <c r="O12" s="20" t="n">
        <f aca="false">IF(B12="Yes",J12*L12,0)</f>
        <v>0</v>
      </c>
    </row>
    <row r="13" customFormat="false" ht="15" hidden="false" customHeight="false" outlineLevel="0" collapsed="false">
      <c r="A13" s="14" t="s">
        <v>81</v>
      </c>
      <c r="B13" s="15" t="s">
        <v>71</v>
      </c>
      <c r="C13" s="15" t="s">
        <v>78</v>
      </c>
      <c r="D13" s="16" t="n">
        <v>22894</v>
      </c>
      <c r="E13" s="16" t="n">
        <v>280</v>
      </c>
      <c r="F13" s="16" t="n">
        <v>396</v>
      </c>
      <c r="G13" s="16" t="n">
        <v>1</v>
      </c>
      <c r="H13" s="16" t="n">
        <v>8101888</v>
      </c>
      <c r="I13" s="16" t="n">
        <v>589824</v>
      </c>
      <c r="J13" s="20" t="n">
        <f aca="false">D13*12/Parameters!$B$11</f>
        <v>22894</v>
      </c>
      <c r="K13" s="18" t="n">
        <f aca="false">IF(D13&gt;=Parameters!$B$15,H13/D13,(E13+Parameters!$B$13)*Parameters!$B$12)</f>
        <v>353.886957281384</v>
      </c>
      <c r="L13" s="18" t="n">
        <f aca="false">IF(D13&gt;=Parameters!$B$15,I13/D13,G13*Parameters!$B$14)</f>
        <v>25.7632567484931</v>
      </c>
      <c r="M13" s="19" t="str">
        <f aca="false">IF(D13&gt;=Parameters!$B$15,"Measured","Estimated")</f>
        <v>Measured</v>
      </c>
      <c r="N13" s="20" t="n">
        <f aca="false">IF(B13="Yes",J13*K13,0)</f>
        <v>8101888</v>
      </c>
      <c r="O13" s="20" t="n">
        <f aca="false">IF(B13="Yes",J13*L13,0)</f>
        <v>589824</v>
      </c>
    </row>
    <row r="14" customFormat="false" ht="15" hidden="false" customHeight="false" outlineLevel="0" collapsed="false">
      <c r="A14" s="14" t="s">
        <v>82</v>
      </c>
      <c r="B14" s="15" t="s">
        <v>71</v>
      </c>
      <c r="C14" s="15" t="s">
        <v>78</v>
      </c>
      <c r="D14" s="16" t="n">
        <v>34948</v>
      </c>
      <c r="E14" s="16" t="n">
        <v>416</v>
      </c>
      <c r="F14" s="16" t="n">
        <v>1088</v>
      </c>
      <c r="G14" s="16" t="n">
        <v>1</v>
      </c>
      <c r="H14" s="16" t="n">
        <v>16146432</v>
      </c>
      <c r="I14" s="16" t="n">
        <v>933888</v>
      </c>
      <c r="J14" s="20" t="n">
        <f aca="false">D14*12/Parameters!$B$11</f>
        <v>34948</v>
      </c>
      <c r="K14" s="18" t="n">
        <f aca="false">IF(D14&gt;=Parameters!$B$15,H14/D14,(E14+Parameters!$B$13)*Parameters!$B$12)</f>
        <v>462.013047956965</v>
      </c>
      <c r="L14" s="18" t="n">
        <f aca="false">IF(D14&gt;=Parameters!$B$15,I14/D14,G14*Parameters!$B$14)</f>
        <v>26.7222158635687</v>
      </c>
      <c r="M14" s="19" t="str">
        <f aca="false">IF(D14&gt;=Parameters!$B$15,"Measured","Estimated")</f>
        <v>Measured</v>
      </c>
      <c r="N14" s="20" t="n">
        <f aca="false">IF(B14="Yes",J14*K14,0)</f>
        <v>16146432</v>
      </c>
      <c r="O14" s="20" t="n">
        <f aca="false">IF(B14="Yes",J14*L14,0)</f>
        <v>933888</v>
      </c>
    </row>
    <row r="15" customFormat="false" ht="15" hidden="false" customHeight="false" outlineLevel="0" collapsed="false">
      <c r="A15" s="14" t="s">
        <v>83</v>
      </c>
      <c r="B15" s="15" t="s">
        <v>71</v>
      </c>
      <c r="C15" s="15" t="s">
        <v>78</v>
      </c>
      <c r="D15" s="16" t="n">
        <v>34573</v>
      </c>
      <c r="E15" s="16" t="n">
        <v>336</v>
      </c>
      <c r="F15" s="16" t="n">
        <v>336</v>
      </c>
      <c r="G15" s="16" t="n">
        <v>1</v>
      </c>
      <c r="H15" s="16" t="n">
        <v>14098432</v>
      </c>
      <c r="I15" s="16" t="n">
        <v>909312</v>
      </c>
      <c r="J15" s="20" t="n">
        <f aca="false">D15*12/Parameters!$B$11</f>
        <v>34573</v>
      </c>
      <c r="K15" s="18" t="n">
        <f aca="false">IF(D15&gt;=Parameters!$B$15,H15/D15,(E15+Parameters!$B$13)*Parameters!$B$12)</f>
        <v>407.787348508952</v>
      </c>
      <c r="L15" s="18" t="n">
        <f aca="false">IF(D15&gt;=Parameters!$B$15,I15/D15,G15*Parameters!$B$14)</f>
        <v>26.3012177132444</v>
      </c>
      <c r="M15" s="19" t="str">
        <f aca="false">IF(D15&gt;=Parameters!$B$15,"Measured","Estimated")</f>
        <v>Measured</v>
      </c>
      <c r="N15" s="20" t="n">
        <f aca="false">IF(B15="Yes",J15*K15,0)</f>
        <v>14098432</v>
      </c>
      <c r="O15" s="20" t="n">
        <f aca="false">IF(B15="Yes",J15*L15,0)</f>
        <v>909312</v>
      </c>
    </row>
    <row r="16" customFormat="false" ht="15" hidden="false" customHeight="false" outlineLevel="0" collapsed="false">
      <c r="A16" s="14" t="s">
        <v>84</v>
      </c>
      <c r="B16" s="15" t="s">
        <v>71</v>
      </c>
      <c r="C16" s="15" t="s">
        <v>85</v>
      </c>
      <c r="D16" s="21" t="s">
        <v>86</v>
      </c>
      <c r="E16" s="16" t="n">
        <v>147</v>
      </c>
      <c r="F16" s="16" t="n">
        <v>213</v>
      </c>
      <c r="G16" s="16" t="n">
        <v>2</v>
      </c>
      <c r="H16" s="16" t="n">
        <v>8192</v>
      </c>
      <c r="I16" s="16" t="n">
        <v>32768</v>
      </c>
      <c r="J16" s="19" t="s">
        <v>86</v>
      </c>
      <c r="K16" s="19" t="s">
        <v>86</v>
      </c>
      <c r="L16" s="19" t="s">
        <v>86</v>
      </c>
      <c r="M16" s="19" t="s">
        <v>87</v>
      </c>
      <c r="N16" s="20" t="n">
        <f aca="false">IF(B16="Yes",H16,0)</f>
        <v>8192</v>
      </c>
      <c r="O16" s="20" t="n">
        <f aca="false">IF(B16="Yes",I16,0)</f>
        <v>32768</v>
      </c>
    </row>
    <row r="17" customFormat="false" ht="15" hidden="false" customHeight="false" outlineLevel="0" collapsed="false">
      <c r="A17" s="22" t="s">
        <v>88</v>
      </c>
      <c r="B17" s="15" t="s">
        <v>89</v>
      </c>
      <c r="C17" s="15" t="s">
        <v>85</v>
      </c>
      <c r="D17" s="23" t="s">
        <v>86</v>
      </c>
      <c r="E17" s="24" t="n">
        <v>101</v>
      </c>
      <c r="F17" s="24" t="n">
        <v>103</v>
      </c>
      <c r="G17" s="24" t="n">
        <v>1</v>
      </c>
      <c r="H17" s="24" t="n">
        <v>8192</v>
      </c>
      <c r="I17" s="24" t="n">
        <v>16384</v>
      </c>
      <c r="J17" s="23" t="s">
        <v>86</v>
      </c>
      <c r="K17" s="23" t="s">
        <v>86</v>
      </c>
      <c r="L17" s="23" t="s">
        <v>86</v>
      </c>
      <c r="M17" s="23" t="s">
        <v>87</v>
      </c>
      <c r="N17" s="24" t="n">
        <f aca="false">IF(B17="Yes",H17,0)</f>
        <v>0</v>
      </c>
      <c r="O17" s="24" t="n">
        <f aca="false">IF(B17="Yes",I17,0)</f>
        <v>0</v>
      </c>
    </row>
    <row r="18" customFormat="false" ht="15" hidden="false" customHeight="false" outlineLevel="0" collapsed="false">
      <c r="A18" s="22" t="s">
        <v>90</v>
      </c>
      <c r="B18" s="15" t="s">
        <v>89</v>
      </c>
      <c r="C18" s="15" t="s">
        <v>85</v>
      </c>
      <c r="D18" s="23" t="s">
        <v>86</v>
      </c>
      <c r="E18" s="24" t="n">
        <v>39</v>
      </c>
      <c r="F18" s="24" t="n">
        <v>40</v>
      </c>
      <c r="G18" s="24" t="n">
        <v>1</v>
      </c>
      <c r="H18" s="24" t="n">
        <v>8192</v>
      </c>
      <c r="I18" s="24" t="n">
        <v>16384</v>
      </c>
      <c r="J18" s="23" t="s">
        <v>86</v>
      </c>
      <c r="K18" s="23" t="s">
        <v>86</v>
      </c>
      <c r="L18" s="23" t="s">
        <v>86</v>
      </c>
      <c r="M18" s="23" t="s">
        <v>87</v>
      </c>
      <c r="N18" s="24" t="n">
        <f aca="false">IF(B18="Yes",H18,0)</f>
        <v>0</v>
      </c>
      <c r="O18" s="24" t="n">
        <f aca="false">IF(B18="Yes",I18,0)</f>
        <v>0</v>
      </c>
    </row>
    <row r="19" customFormat="false" ht="15" hidden="false" customHeight="false" outlineLevel="0" collapsed="false">
      <c r="A19" s="22" t="s">
        <v>91</v>
      </c>
      <c r="B19" s="15" t="s">
        <v>89</v>
      </c>
      <c r="C19" s="15" t="s">
        <v>85</v>
      </c>
      <c r="D19" s="23" t="s">
        <v>86</v>
      </c>
      <c r="E19" s="24" t="n">
        <v>37</v>
      </c>
      <c r="F19" s="24" t="n">
        <v>37</v>
      </c>
      <c r="G19" s="24" t="n">
        <v>1</v>
      </c>
      <c r="H19" s="24" t="n">
        <v>8192</v>
      </c>
      <c r="I19" s="24" t="n">
        <v>16384</v>
      </c>
      <c r="J19" s="23" t="s">
        <v>86</v>
      </c>
      <c r="K19" s="23" t="s">
        <v>86</v>
      </c>
      <c r="L19" s="23" t="s">
        <v>86</v>
      </c>
      <c r="M19" s="23" t="s">
        <v>87</v>
      </c>
      <c r="N19" s="24" t="n">
        <f aca="false">IF(B19="Yes",H19,0)</f>
        <v>0</v>
      </c>
      <c r="O19" s="24" t="n">
        <f aca="false">IF(B19="Yes",I19,0)</f>
        <v>0</v>
      </c>
    </row>
    <row r="20" customFormat="false" ht="15" hidden="false" customHeight="false" outlineLevel="0" collapsed="false">
      <c r="A20" s="22" t="s">
        <v>92</v>
      </c>
      <c r="B20" s="15" t="s">
        <v>89</v>
      </c>
      <c r="C20" s="15" t="s">
        <v>85</v>
      </c>
      <c r="D20" s="23" t="s">
        <v>86</v>
      </c>
      <c r="E20" s="24" t="n">
        <v>37</v>
      </c>
      <c r="F20" s="24" t="n">
        <v>41</v>
      </c>
      <c r="G20" s="24" t="n">
        <v>1</v>
      </c>
      <c r="H20" s="24" t="n">
        <v>8192</v>
      </c>
      <c r="I20" s="24" t="n">
        <v>16384</v>
      </c>
      <c r="J20" s="23" t="s">
        <v>86</v>
      </c>
      <c r="K20" s="23" t="s">
        <v>86</v>
      </c>
      <c r="L20" s="23" t="s">
        <v>86</v>
      </c>
      <c r="M20" s="23" t="s">
        <v>87</v>
      </c>
      <c r="N20" s="24" t="n">
        <f aca="false">IF(B20="Yes",H20,0)</f>
        <v>0</v>
      </c>
      <c r="O20" s="24" t="n">
        <f aca="false">IF(B20="Yes",I20,0)</f>
        <v>0</v>
      </c>
    </row>
    <row r="21" customFormat="false" ht="15" hidden="false" customHeight="false" outlineLevel="0" collapsed="false">
      <c r="A21" s="22" t="s">
        <v>93</v>
      </c>
      <c r="B21" s="15" t="s">
        <v>89</v>
      </c>
      <c r="C21" s="15" t="s">
        <v>85</v>
      </c>
      <c r="D21" s="23" t="s">
        <v>86</v>
      </c>
      <c r="E21" s="24" t="n">
        <v>39</v>
      </c>
      <c r="F21" s="24" t="n">
        <v>40</v>
      </c>
      <c r="G21" s="24" t="n">
        <v>1</v>
      </c>
      <c r="H21" s="24" t="n">
        <v>8192</v>
      </c>
      <c r="I21" s="24" t="n">
        <v>16384</v>
      </c>
      <c r="J21" s="23" t="s">
        <v>86</v>
      </c>
      <c r="K21" s="23" t="s">
        <v>86</v>
      </c>
      <c r="L21" s="23" t="s">
        <v>86</v>
      </c>
      <c r="M21" s="23" t="s">
        <v>87</v>
      </c>
      <c r="N21" s="24" t="n">
        <f aca="false">IF(B21="Yes",H21,0)</f>
        <v>0</v>
      </c>
      <c r="O21" s="24" t="n">
        <f aca="false">IF(B21="Yes",I21,0)</f>
        <v>0</v>
      </c>
    </row>
    <row r="22" customFormat="false" ht="15" hidden="false" customHeight="false" outlineLevel="0" collapsed="false">
      <c r="A22" s="22" t="s">
        <v>94</v>
      </c>
      <c r="B22" s="15" t="s">
        <v>89</v>
      </c>
      <c r="C22" s="15" t="s">
        <v>85</v>
      </c>
      <c r="D22" s="23" t="s">
        <v>86</v>
      </c>
      <c r="E22" s="23" t="s">
        <v>86</v>
      </c>
      <c r="F22" s="23" t="s">
        <v>86</v>
      </c>
      <c r="G22" s="24" t="n">
        <v>1</v>
      </c>
      <c r="H22" s="24" t="n">
        <v>0</v>
      </c>
      <c r="I22" s="24" t="n">
        <v>8192</v>
      </c>
      <c r="J22" s="23" t="s">
        <v>86</v>
      </c>
      <c r="K22" s="23" t="s">
        <v>86</v>
      </c>
      <c r="L22" s="23" t="s">
        <v>86</v>
      </c>
      <c r="M22" s="23" t="s">
        <v>87</v>
      </c>
      <c r="N22" s="24" t="n">
        <f aca="false">IF(B22="Yes",H22,0)</f>
        <v>0</v>
      </c>
      <c r="O22" s="24" t="n">
        <f aca="false">IF(B22="Yes",I22,0)</f>
        <v>0</v>
      </c>
    </row>
    <row r="23" customFormat="false" ht="15" hidden="false" customHeight="false" outlineLevel="0" collapsed="false">
      <c r="A23" s="22" t="s">
        <v>95</v>
      </c>
      <c r="B23" s="15" t="s">
        <v>89</v>
      </c>
      <c r="C23" s="15" t="s">
        <v>85</v>
      </c>
      <c r="D23" s="23" t="s">
        <v>86</v>
      </c>
      <c r="E23" s="23" t="s">
        <v>86</v>
      </c>
      <c r="F23" s="23" t="s">
        <v>86</v>
      </c>
      <c r="G23" s="24" t="n">
        <v>1</v>
      </c>
      <c r="H23" s="24" t="n">
        <v>0</v>
      </c>
      <c r="I23" s="24" t="n">
        <v>8192</v>
      </c>
      <c r="J23" s="23" t="s">
        <v>86</v>
      </c>
      <c r="K23" s="23" t="s">
        <v>86</v>
      </c>
      <c r="L23" s="23" t="s">
        <v>86</v>
      </c>
      <c r="M23" s="23" t="s">
        <v>87</v>
      </c>
      <c r="N23" s="24" t="n">
        <f aca="false">IF(B23="Yes",H23,0)</f>
        <v>0</v>
      </c>
      <c r="O23" s="24" t="n">
        <f aca="false">IF(B23="Yes",I23,0)</f>
        <v>0</v>
      </c>
    </row>
    <row r="25" customFormat="false" ht="15" hidden="false" customHeight="false" outlineLevel="0" collapsed="false">
      <c r="A25" s="25" t="s">
        <v>96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6" t="n">
        <f aca="false">SUMIFS(N5:N23,C5:C23,"Per file")</f>
        <v>10362.7393939394</v>
      </c>
      <c r="O25" s="26" t="n">
        <f aca="false">SUMIFS(O5:O23,C5:C23,"Per file")</f>
        <v>7207.06060606061</v>
      </c>
    </row>
    <row r="26" customFormat="false" ht="15" hidden="false" customHeight="false" outlineLevel="0" collapsed="false">
      <c r="A26" s="25" t="s">
        <v>97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6" t="n">
        <f aca="false">SUMIFS(N5:N23,C5:C23,"Per year")</f>
        <v>55533568</v>
      </c>
      <c r="O26" s="26" t="n">
        <f aca="false">SUMIFS(O5:O23,C5:C23,"Per year")</f>
        <v>6275072</v>
      </c>
    </row>
    <row r="27" customFormat="false" ht="15" hidden="false" customHeight="false" outlineLevel="0" collapsed="false">
      <c r="A27" s="25" t="s">
        <v>98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6" t="n">
        <f aca="false">SUMIFS(N5:N23,C5:C23,"Fixed")</f>
        <v>8192</v>
      </c>
      <c r="O27" s="26" t="n">
        <f aca="false">SUMIFS(O5:O23,C5:C23,"Fixed")</f>
        <v>32768</v>
      </c>
    </row>
  </sheetData>
  <mergeCells count="3">
    <mergeCell ref="A25:M25"/>
    <mergeCell ref="A26:M26"/>
    <mergeCell ref="A27:M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27" t="s">
        <v>100</v>
      </c>
    </row>
    <row r="5" customFormat="false" ht="30" hidden="false" customHeight="true" outlineLevel="0" collapsed="false">
      <c r="A5" s="28" t="s">
        <v>101</v>
      </c>
    </row>
    <row r="6" customFormat="false" ht="90.75" hidden="false" customHeight="true" outlineLevel="0" collapsed="false">
      <c r="A6" s="29" t="s">
        <v>102</v>
      </c>
    </row>
    <row r="7" customFormat="false" ht="30" hidden="false" customHeight="true" outlineLevel="0" collapsed="false">
      <c r="A7" s="28" t="s">
        <v>103</v>
      </c>
    </row>
    <row r="8" customFormat="false" ht="15" hidden="false" customHeight="false" outlineLevel="0" collapsed="false">
      <c r="A8" s="27" t="s">
        <v>104</v>
      </c>
    </row>
    <row r="10" customFormat="false" ht="15" hidden="false" customHeight="true" outlineLevel="0" collapsed="false">
      <c r="A10" s="28" t="s">
        <v>105</v>
      </c>
    </row>
    <row r="11" customFormat="false" ht="117" hidden="false" customHeight="true" outlineLevel="0" collapsed="false">
      <c r="A11" s="29" t="s">
        <v>106</v>
      </c>
    </row>
    <row r="12" customFormat="false" ht="30" hidden="false" customHeight="true" outlineLevel="0" collapsed="false">
      <c r="A12" s="28" t="s">
        <v>107</v>
      </c>
    </row>
    <row r="13" customFormat="false" ht="15" hidden="false" customHeight="false" outlineLevel="0" collapsed="false">
      <c r="A13" s="27" t="s">
        <v>108</v>
      </c>
    </row>
    <row r="15" customFormat="false" ht="30" hidden="false" customHeight="true" outlineLevel="0" collapsed="false">
      <c r="A15" s="28" t="s">
        <v>109</v>
      </c>
    </row>
    <row r="16" customFormat="false" ht="30" hidden="false" customHeight="true" outlineLevel="0" collapsed="false">
      <c r="A16" s="28" t="s">
        <v>110</v>
      </c>
    </row>
    <row r="17" customFormat="false" ht="30" hidden="false" customHeight="true" outlineLevel="0" collapsed="false">
      <c r="A17" s="28" t="s">
        <v>111</v>
      </c>
    </row>
    <row r="18" customFormat="false" ht="15" hidden="false" customHeight="true" outlineLevel="0" collapsed="false">
      <c r="A18" s="28" t="s">
        <v>112</v>
      </c>
    </row>
    <row r="19" customFormat="false" ht="15" hidden="false" customHeight="false" outlineLevel="0" collapsed="false">
      <c r="A19" s="27" t="s">
        <v>113</v>
      </c>
    </row>
    <row r="21" customFormat="false" ht="15" hidden="false" customHeight="true" outlineLevel="0" collapsed="false">
      <c r="A21" s="28" t="s">
        <v>114</v>
      </c>
    </row>
    <row r="22" customFormat="false" ht="30" hidden="false" customHeight="true" outlineLevel="0" collapsed="false">
      <c r="A22" s="28" t="s">
        <v>115</v>
      </c>
    </row>
    <row r="23" customFormat="false" ht="15" hidden="false" customHeight="true" outlineLevel="0" collapsed="false">
      <c r="A23" s="28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2026-10-30T08:51:57Z</dcterms:created>
  <dc:creator>openpyxl</dc:creator>
  <dc:description/>
  <dc:language>en-US</dc:language>
  <cp:lastModifiedBy/>
  <dcterms:modified xsi:type="dcterms:W3CDTF">2026-10-30T08:51:57Z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