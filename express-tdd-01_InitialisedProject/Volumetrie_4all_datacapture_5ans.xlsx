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Hypothèses" sheetId="2" state="visible" r:id="rId4"/>
    <sheet name="Volumétrie BDD" sheetId="3" state="visible" r:id="rId5"/>
    <sheet name="Stockage fichier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<sst xmlns="http://schemas.openxmlformats.org/spreadsheetml/2006/main" count="234" uniqueCount="136">
  <si>
    <t xml:space="preserve">4all_datacapture – Synthèse de la volumétrie à 5 ans</t>
  </si>
  <si>
    <t xml:space="preserve">Base : 225 000 PDF/an. Tous les chiffres sont liés aux feuilles de calcul et aux hypothèses.</t>
  </si>
  <si>
    <t xml:space="preserve">Indicateur clé</t>
  </si>
  <si>
    <t xml:space="preserve">Unité</t>
  </si>
  <si>
    <t xml:space="preserve">PDF reçus dans l'année</t>
  </si>
  <si>
    <t xml:space="preserve">fichiers</t>
  </si>
  <si>
    <t xml:space="preserve">Soumissions conservées en base</t>
  </si>
  <si>
    <t xml:space="preserve">lignes</t>
  </si>
  <si>
    <t xml:space="preserve">Lignes totales (tables transactionnelles)</t>
  </si>
  <si>
    <t xml:space="preserve">  dont SUBMISSION_STATUS_HISTORY</t>
  </si>
  <si>
    <t xml:space="preserve">Taille de la base PostgreSQL</t>
  </si>
  <si>
    <t xml:space="preserve">Go</t>
  </si>
  <si>
    <t xml:space="preserve">Disque à provisionner par instance</t>
  </si>
  <si>
    <t xml:space="preserve">Disque total cluster PostgreSQL</t>
  </si>
  <si>
    <t xml:space="preserve">Stockage des sauvegardes PostgreSQL</t>
  </si>
  <si>
    <t xml:space="preserve">Partitionnement nécessaire ?</t>
  </si>
  <si>
    <t xml:space="preserve">Fichiers conservés (PDF + sorties)</t>
  </si>
  <si>
    <t xml:space="preserve">Stockage fichiers utile</t>
  </si>
  <si>
    <t xml:space="preserve">To</t>
  </si>
  <si>
    <t xml:space="preserve">Stockage fichiers brut répliqué</t>
  </si>
  <si>
    <t xml:space="preserve">Ratio stockage fichiers / base (année 5)</t>
  </si>
  <si>
    <t xml:space="preserve">Lecture</t>
  </si>
  <si>
    <t xml:space="preserve">• La base PostgreSQL reste de taille modeste (quelques Go) : le flux de 225 000 PDF/an génère ~1,5 M de lignes/an, dominées par l'historique de statuts.</t>
  </si>
  <si>
    <t xml:space="preserve">• Le stockage des fichiers (hors base) représente l'essentiel du volume : il doit être dimensionné et gouverné séparément (stockage objet, cycle de vie, chiffrement).</t>
  </si>
  <si>
    <t xml:space="preserve">• Le partitionnement n'est pas requis pour la taille, mais reste recommandé pour SUBMISSION_STATUS_HISTORY si une politique de rétention/purge est définie.</t>
  </si>
  <si>
    <t xml:space="preserve">• Pour simuler un autre scénario, modifier uniquement les cellules bleues de la feuille « Hypothèses » (croissance, taille PDF, rétention…).</t>
  </si>
  <si>
    <t xml:space="preserve">Projection de volumétrie 4all_datacapture – Hypothèses</t>
  </si>
  <si>
    <t xml:space="preserve">Cellules en bleu = saisies modifiables ; fond jaune = hypothèses clés. Toutes les autres feuilles se recalculent à partir de cette page.</t>
  </si>
  <si>
    <t xml:space="preserve">Légende : bleu = saisie · noir = calcul · vert = lien vers une autre feuille</t>
  </si>
  <si>
    <t xml:space="preserve">Paramètre</t>
  </si>
  <si>
    <t xml:space="preserve">Valeur</t>
  </si>
  <si>
    <t xml:space="preserve">Source / justification</t>
  </si>
  <si>
    <t xml:space="preserve">1. Flux métier</t>
  </si>
  <si>
    <t xml:space="preserve">PDF reçus par an (année 1)</t>
  </si>
  <si>
    <t xml:space="preserve">Donnée fournie par le demandeur : 225 000 PDF par an.</t>
  </si>
  <si>
    <t xml:space="preserve">Croissance annuelle du flux</t>
  </si>
  <si>
    <t xml:space="preserve">%</t>
  </si>
  <si>
    <t xml:space="preserve">Hypothèse : flux constant (225 000/an chaque année). Saisir p.ex. 10 % pour un scénario de croissance.</t>
  </si>
  <si>
    <t xml:space="preserve">Première année de projection</t>
  </si>
  <si>
    <t xml:space="preserve">année</t>
  </si>
  <si>
    <t xml:space="preserve">Hypothèse : mise en production début 2027.</t>
  </si>
  <si>
    <t xml:space="preserve">Soumissions par PDF (resoumissions incluses)</t>
  </si>
  <si>
    <t xml:space="preserve">ratio</t>
  </si>
  <si>
    <t xml:space="preserve">Hypothèse : 5 % de resoumissions (erreurs, nouvelles versions).</t>
  </si>
  <si>
    <t xml:space="preserve">2. Ratios fonctionnels (modèle de données)</t>
  </si>
  <si>
    <t xml:space="preserve">PREPROCESSING_STEPS par soumission</t>
  </si>
  <si>
    <t xml:space="preserve">Hypothèse : 1 prétraitement + 10 % de rejeux.</t>
  </si>
  <si>
    <t xml:space="preserve">EXTRACTION_STEPS par soumission</t>
  </si>
  <si>
    <t xml:space="preserve">Hypothèse : 1 extraction + rejeux / multi-fournisseurs (EXTRACTION_PROVIDER).</t>
  </si>
  <si>
    <t xml:space="preserve">SUBMISSION_STATUS_HISTORY par soumission</t>
  </si>
  <si>
    <t xml:space="preserve">Hypothèse : RECEIVED → UPLOADED → PREPROCESSING → EXTRACTING → EXTRACTED → VALIDATED.</t>
  </si>
  <si>
    <t xml:space="preserve">METADATA par soumission</t>
  </si>
  <si>
    <t xml:space="preserve">Relation 1-1 (SUBMISSIONS.METADATA_ID).</t>
  </si>
  <si>
    <t xml:space="preserve">Pages moyennes par PDF</t>
  </si>
  <si>
    <t xml:space="preserve">pages</t>
  </si>
  <si>
    <t xml:space="preserve">Hypothèse (TOTAL_PAGES) – utilisée pour le contrôle de cohérence.</t>
  </si>
  <si>
    <t xml:space="preserve">3. Taille moyenne des lignes PostgreSQL (octets, en-tête 24 o + pointeur 4 o inclus)</t>
  </si>
  <si>
    <t xml:space="preserve">SUBMISSIONS</t>
  </si>
  <si>
    <t xml:space="preserve">octets</t>
  </si>
  <si>
    <t xml:space="preserve">bigint id, uuid, url (~100), status, upload_ts, source, filename (~60), processing_status, metadata_id.</t>
  </si>
  <si>
    <t xml:space="preserve">METADATA</t>
  </si>
  <si>
    <t xml:space="preserve">company_id, company_name (~40), confidentiality, document_id, document_name (~60), extension, received_at, size.</t>
  </si>
  <si>
    <t xml:space="preserve">PREPROCESSING_STEPS</t>
  </si>
  <si>
    <t xml:space="preserve">output_file_path (~120), cleaned_document_id, format, type, provider, pages, timestamps.</t>
  </si>
  <si>
    <t xml:space="preserve">EXTRACTION_STEPS</t>
  </si>
  <si>
    <t xml:space="preserve">output_file_path (~120), extraction_id, provider, timestamps, submission_id.</t>
  </si>
  <si>
    <t xml:space="preserve">SUBMISSION_STATUS_HISTORY</t>
  </si>
  <si>
    <t xml:space="preserve">id, submission_id, new_status, change_timestamp (timestamptz), changed_by.</t>
  </si>
  <si>
    <t xml:space="preserve">4. Facteurs PostgreSQL</t>
  </si>
  <si>
    <t xml:space="preserve">Ratio index / table – SUBMISSIONS</t>
  </si>
  <si>
    <t xml:space="preserve">PK + uid unique + status partiel + metadata_id + upload_ts.</t>
  </si>
  <si>
    <t xml:space="preserve">Ratio index / table – METADATA</t>
  </si>
  <si>
    <t xml:space="preserve">PK + document_id + company_id.</t>
  </si>
  <si>
    <t xml:space="preserve">Ratio index / table – PREPROCESSING_STEPS</t>
  </si>
  <si>
    <t xml:space="preserve">PK + submission_id (FK à indexer).</t>
  </si>
  <si>
    <t xml:space="preserve">Ratio index / table – EXTRACTION_STEPS</t>
  </si>
  <si>
    <t xml:space="preserve">Ratio index / table – SUBMISSION_STATUS_HISTORY</t>
  </si>
  <si>
    <t xml:space="preserve">Table étroite : PK + (submission_id, change_timestamp) pèsent proportionnellement lourd.</t>
  </si>
  <si>
    <t xml:space="preserve">Facteur de bloat MVCC / fillfactor</t>
  </si>
  <si>
    <t xml:space="preserve">x</t>
  </si>
  <si>
    <t xml:space="preserve">Hypothèse : 25 % d'espace mort toléré avec un autovacuum correctement réglé.</t>
  </si>
  <si>
    <t xml:space="preserve">Tables de référence (USERS, ROLE, PERMISSION…) + catalogue</t>
  </si>
  <si>
    <t xml:space="preserve">Quelques milliers d'utilisateurs ; photos (USERS_PHOTO, bytea TOAST) ~100 Ko/utilisateur.</t>
  </si>
  <si>
    <t xml:space="preserve">Rétention des données en base</t>
  </si>
  <si>
    <t xml:space="preserve">années</t>
  </si>
  <si>
    <t xml:space="preserve">Hypothèse : aucune purge sur l'horizon de 5 ans. Ramener à 3 pour simuler une purge/archivage.</t>
  </si>
  <si>
    <t xml:space="preserve">5. Stockage des fichiers (hors base – OUTPUT_FILE_PATH)</t>
  </si>
  <si>
    <t xml:space="preserve">Taille moyenne d'un PDF source</t>
  </si>
  <si>
    <t xml:space="preserve">Mo</t>
  </si>
  <si>
    <t xml:space="preserve">Hypothèse : PDF bancaires scannés/numériques 0,3–5 Mo.</t>
  </si>
  <si>
    <t xml:space="preserve">Taille moyenne d'une sortie de prétraitement</t>
  </si>
  <si>
    <t xml:space="preserve">Document nettoyé (CLEANED_DOCUMENT_ID) – hypothèse 80 % du source.</t>
  </si>
  <si>
    <t xml:space="preserve">Taille moyenne d'une sortie d'extraction</t>
  </si>
  <si>
    <t xml:space="preserve">JSON/XML de résultats d'extraction.</t>
  </si>
  <si>
    <t xml:space="preserve">Rétention des fichiers</t>
  </si>
  <si>
    <t xml:space="preserve">Hypothèse : conservation au-delà de 5 ans (obligations réglementaires).</t>
  </si>
  <si>
    <t xml:space="preserve">Facteur de réplication du stockage objet</t>
  </si>
  <si>
    <t xml:space="preserve">Hypothèse : réplication sur 2 sites / zones.</t>
  </si>
  <si>
    <t xml:space="preserve">6. Exploitation / dimensionnement</t>
  </si>
  <si>
    <t xml:space="preserve">Nombre d'instances PostgreSQL (primaire + standbys)</t>
  </si>
  <si>
    <t xml:space="preserve">instances</t>
  </si>
  <si>
    <t xml:space="preserve">Hypothèse : 1 primaire + 1 standby synchrone + 1 asynchrone (Patroni).</t>
  </si>
  <si>
    <t xml:space="preserve">Réserve WAL + fichiers temporaires par instance</t>
  </si>
  <si>
    <t xml:space="preserve">max_wal_size, wal_keep_size, slots de réplication, tris sur disque.</t>
  </si>
  <si>
    <t xml:space="preserve">Taux de remplissage disque cible maximal</t>
  </si>
  <si>
    <t xml:space="preserve">Bonne pratique : ne pas dépasser 70 % pour absorber VACUUM FULL / REINDEX / pg_repack.</t>
  </si>
  <si>
    <t xml:space="preserve">Facteur de stockage des sauvegardes (PITR)</t>
  </si>
  <si>
    <t xml:space="preserve">x taille BDD</t>
  </si>
  <si>
    <t xml:space="preserve">pgBackRest : 2 full hebdo compressés + diff/incr + archives WAL sur 30 jours.</t>
  </si>
  <si>
    <t xml:space="preserve">Volumétrie PostgreSQL par table – projection 5 ans</t>
  </si>
  <si>
    <t xml:space="preserve">Stocks en fin d'année (cumul conservé selon la rétention). Tailles en Go (1 Go = 1024³ octets).</t>
  </si>
  <si>
    <t xml:space="preserve">Indicateur</t>
  </si>
  <si>
    <t xml:space="preserve">Année de projection (n)</t>
  </si>
  <si>
    <t xml:space="preserve">Soumissions créées dans l'année</t>
  </si>
  <si>
    <t xml:space="preserve">Soumissions conservées (stock fin d'année)</t>
  </si>
  <si>
    <t xml:space="preserve">Lignes (stock)</t>
  </si>
  <si>
    <t xml:space="preserve">Taille table (heap, bloat inclus)</t>
  </si>
  <si>
    <t xml:space="preserve">Taille index</t>
  </si>
  <si>
    <t xml:space="preserve">Total table + index</t>
  </si>
  <si>
    <t xml:space="preserve">SYNTHÈSE BASE DE DONNÉES</t>
  </si>
  <si>
    <t xml:space="preserve">Tables de référence + catalogue</t>
  </si>
  <si>
    <t xml:space="preserve">Taille de la base</t>
  </si>
  <si>
    <t xml:space="preserve">Disque total cluster (toutes instances)</t>
  </si>
  <si>
    <t xml:space="preserve">Stockage des sauvegardes</t>
  </si>
  <si>
    <t xml:space="preserve">Plus grosse table (Go)</t>
  </si>
  <si>
    <t xml:space="preserve">Partitionnement nécessaire ? (seuil 50 Go ou 100 M lignes)</t>
  </si>
  <si>
    <t xml:space="preserve">Stockage des fichiers (PDF sources et sorties de traitement)</t>
  </si>
  <si>
    <t xml:space="preserve">Fichiers stockés hors base (stockage objet / NAS), référencés par OUTPUT_FILE_PATH. 1 To = 1024 Go.</t>
  </si>
  <si>
    <t xml:space="preserve">Volume PDF sources de l'année</t>
  </si>
  <si>
    <t xml:space="preserve">Volume sorties de prétraitement de l'année</t>
  </si>
  <si>
    <t xml:space="preserve">Volume sorties d'extraction de l'année</t>
  </si>
  <si>
    <t xml:space="preserve">Volume produit dans l'année</t>
  </si>
  <si>
    <t xml:space="preserve">Nombre de fichiers produits dans l'année</t>
  </si>
  <si>
    <t xml:space="preserve">Nombre de fichiers conservés (stock)</t>
  </si>
  <si>
    <t xml:space="preserve">Stockage utile conservé (stock)</t>
  </si>
  <si>
    <t xml:space="preserve">Stockage brut répliqué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</si>
</sst>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"/>
    <numFmt numFmtId="167" formatCode="@"/>
    <numFmt numFmtId="168" formatCode="0.00"/>
    <numFmt numFmtId="169" formatCode="0\x"/>
    <numFmt numFmtId="170" formatCode="0.0%"/>
    <numFmt numFmtId="171" formatCode="0"/>
    <numFmt numFmtId="172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573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573F"/>
        <bgColor rgb="FF003300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573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Stockage fichiers conservé (To utiles)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Synthèse!$C$4:$G$4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Synthèse!$C$15:$G$15</c:f>
              <c:numCache>
                <c:formatCode>0.00</c:formatCode>
                <c:ptCount val="5"/>
                <c:pt idx="0">
                  <c:v>0.686055421829224</c:v>
                </c:pt>
                <c:pt idx="1">
                  <c:v>1.37211084365845</c:v>
                </c:pt>
                <c:pt idx="2">
                  <c:v>2.05816626548767</c:v>
                </c:pt>
                <c:pt idx="3">
                  <c:v>2.74422168731689</c:v>
                </c:pt>
                <c:pt idx="4">
                  <c:v>3.43027710914612</c:v>
                </c:pt>
              </c:numCache>
            </c:numRef>
          </c:val>
        </c:ser>
        <c:gapWidth val="150"/>
        <c:overlap val="0"/>
        <c:axId val="99758919"/>
        <c:axId val="82662851"/>
      </c:barChart>
      <c:catAx>
        <c:axId val="99758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62851"/>
        <c:crosses val="autoZero"/>
        <c:auto val="1"/>
        <c:lblAlgn val="ctr"/>
        <c:lblOffset val="100"/>
        <c:noMultiLvlLbl val="0"/>
      </c:catAx>
      <c:valAx>
        <c:axId val="826628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7589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Taille base PostgreSQL (Go)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Synthèse!$C$4:$G$4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Synthèse!$C$9:$G$9</c:f>
              <c:numCache>
                <c:formatCode>0.0</c:formatCode>
                <c:ptCount val="5"/>
                <c:pt idx="0">
                  <c:v>1.29969446233008</c:v>
                </c:pt>
                <c:pt idx="1">
                  <c:v>2.09938892466016</c:v>
                </c:pt>
                <c:pt idx="2">
                  <c:v>2.89908338699024</c:v>
                </c:pt>
                <c:pt idx="3">
                  <c:v>3.69877784932032</c:v>
                </c:pt>
                <c:pt idx="4">
                  <c:v>4.4984723116504</c:v>
                </c:pt>
              </c:numCache>
            </c:numRef>
          </c:val>
        </c:ser>
        <c:gapWidth val="150"/>
        <c:overlap val="0"/>
        <c:axId val="70405315"/>
        <c:axId val="26494008"/>
      </c:barChart>
      <c:catAx>
        <c:axId val="704053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94008"/>
        <c:crosses val="autoZero"/>
        <c:auto val="1"/>
        <c:lblAlgn val="ctr"/>
        <c:lblOffset val="100"/>
        <c:noMultiLvlLbl val="0"/>
      </c:catAx>
      <c:valAx>
        <c:axId val="264940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053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160560</xdr:rowOff>
    </xdr:from>
    <xdr:to>
      <xdr:col>3</xdr:col>
      <xdr:colOff>473400</xdr:colOff>
      <xdr:row>39</xdr:row>
      <xdr:rowOff>2880</xdr:rowOff>
    </xdr:to>
    <xdr:graphicFrame>
      <xdr:nvGraphicFramePr>
        <xdr:cNvPr id="0" name="Chart 1"/>
        <xdr:cNvGraphicFramePr/>
      </xdr:nvGraphicFramePr>
      <xdr:xfrm>
        <a:off x="0" y="4762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24</xdr:row>
      <xdr:rowOff>160560</xdr:rowOff>
    </xdr:from>
    <xdr:to>
      <xdr:col>9</xdr:col>
      <xdr:colOff>307440</xdr:colOff>
      <xdr:row>39</xdr:row>
      <xdr:rowOff>2880</xdr:rowOff>
    </xdr:to>
    <xdr:graphicFrame>
      <xdr:nvGraphicFramePr>
        <xdr:cNvPr id="1" name="Chart 2"/>
        <xdr:cNvGraphicFramePr/>
      </xdr:nvGraphicFramePr>
      <xdr:xfrm>
        <a:off x="5286240" y="4762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0"/>
    <col collapsed="false" customWidth="true" hidden="false" outlineLevel="0" max="7" min="3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tr">
        <f aca="false">TEXT(Hypothèses!$B$9+0,"0")</f>
        <v>2027</v>
      </c>
      <c r="D4" s="4" t="str">
        <f aca="false">TEXT(Hypothèses!$B$9+1,"0")</f>
        <v>2028</v>
      </c>
      <c r="E4" s="4" t="str">
        <f aca="false">TEXT(Hypothèses!$B$9+2,"0")</f>
        <v>2029</v>
      </c>
      <c r="F4" s="4" t="str">
        <f aca="false">TEXT(Hypothèses!$B$9+3,"0")</f>
        <v>2030</v>
      </c>
      <c r="G4" s="4" t="str">
        <f aca="false">TEXT(Hypothèses!$B$9+4,"0")</f>
        <v>2031</v>
      </c>
    </row>
    <row r="5" customFormat="false" ht="15" hidden="false" customHeight="false" outlineLevel="0" collapsed="false">
      <c r="A5" s="5" t="s">
        <v>4</v>
      </c>
      <c r="B5" s="5" t="s">
        <v>5</v>
      </c>
      <c r="C5" s="6" t="n">
        <f aca="false">'Volumétrie BDD'!C6</f>
        <v>225000</v>
      </c>
      <c r="D5" s="6" t="n">
        <f aca="false">'Volumétrie BDD'!D6</f>
        <v>225000</v>
      </c>
      <c r="E5" s="6" t="n">
        <f aca="false">'Volumétrie BDD'!E6</f>
        <v>225000</v>
      </c>
      <c r="F5" s="6" t="n">
        <f aca="false">'Volumétrie BDD'!F6</f>
        <v>225000</v>
      </c>
      <c r="G5" s="6" t="n">
        <f aca="false">'Volumétrie BDD'!G6</f>
        <v>225000</v>
      </c>
    </row>
    <row r="6" customFormat="false" ht="15" hidden="false" customHeight="false" outlineLevel="0" collapsed="false">
      <c r="A6" s="7" t="s">
        <v>6</v>
      </c>
      <c r="B6" s="7" t="s">
        <v>7</v>
      </c>
      <c r="C6" s="8" t="n">
        <f aca="false">'Volumétrie BDD'!C8</f>
        <v>236250</v>
      </c>
      <c r="D6" s="8" t="n">
        <f aca="false">'Volumétrie BDD'!D8</f>
        <v>472500</v>
      </c>
      <c r="E6" s="8" t="n">
        <f aca="false">'Volumétrie BDD'!E8</f>
        <v>708750</v>
      </c>
      <c r="F6" s="8" t="n">
        <f aca="false">'Volumétrie BDD'!F8</f>
        <v>945000</v>
      </c>
      <c r="G6" s="8" t="n">
        <f aca="false">'Volumétrie BDD'!G8</f>
        <v>1181250</v>
      </c>
    </row>
    <row r="7" customFormat="false" ht="15" hidden="false" customHeight="false" outlineLevel="0" collapsed="false">
      <c r="A7" s="5" t="s">
        <v>8</v>
      </c>
      <c r="B7" s="5" t="s">
        <v>7</v>
      </c>
      <c r="C7" s="6" t="n">
        <f aca="false">'Volumétrie BDD'!C41</f>
        <v>2504250</v>
      </c>
      <c r="D7" s="6" t="n">
        <f aca="false">'Volumétrie BDD'!D41</f>
        <v>5008500</v>
      </c>
      <c r="E7" s="6" t="n">
        <f aca="false">'Volumétrie BDD'!E41</f>
        <v>7512750</v>
      </c>
      <c r="F7" s="6" t="n">
        <f aca="false">'Volumétrie BDD'!F41</f>
        <v>10017000</v>
      </c>
      <c r="G7" s="6" t="n">
        <f aca="false">'Volumétrie BDD'!G41</f>
        <v>12521250</v>
      </c>
    </row>
    <row r="8" customFormat="false" ht="15" hidden="false" customHeight="false" outlineLevel="0" collapsed="false">
      <c r="A8" s="7" t="s">
        <v>9</v>
      </c>
      <c r="B8" s="7" t="s">
        <v>7</v>
      </c>
      <c r="C8" s="8" t="n">
        <f aca="false">'Volumétrie BDD'!C35</f>
        <v>1417500</v>
      </c>
      <c r="D8" s="8" t="n">
        <f aca="false">'Volumétrie BDD'!D35</f>
        <v>2835000</v>
      </c>
      <c r="E8" s="8" t="n">
        <f aca="false">'Volumétrie BDD'!E35</f>
        <v>4252500</v>
      </c>
      <c r="F8" s="8" t="n">
        <f aca="false">'Volumétrie BDD'!F35</f>
        <v>5670000</v>
      </c>
      <c r="G8" s="8" t="n">
        <f aca="false">'Volumétrie BDD'!G35</f>
        <v>7087500</v>
      </c>
    </row>
    <row r="9" customFormat="false" ht="15" hidden="false" customHeight="false" outlineLevel="0" collapsed="false">
      <c r="A9" s="5" t="s">
        <v>10</v>
      </c>
      <c r="B9" s="5" t="s">
        <v>11</v>
      </c>
      <c r="C9" s="9" t="n">
        <f aca="false">'Volumétrie BDD'!C43</f>
        <v>1.29969446233008</v>
      </c>
      <c r="D9" s="9" t="n">
        <f aca="false">'Volumétrie BDD'!D43</f>
        <v>2.09938892466016</v>
      </c>
      <c r="E9" s="9" t="n">
        <f aca="false">'Volumétrie BDD'!E43</f>
        <v>2.89908338699024</v>
      </c>
      <c r="F9" s="9" t="n">
        <f aca="false">'Volumétrie BDD'!F43</f>
        <v>3.69877784932032</v>
      </c>
      <c r="G9" s="9" t="n">
        <f aca="false">'Volumétrie BDD'!G43</f>
        <v>4.4984723116504</v>
      </c>
    </row>
    <row r="10" customFormat="false" ht="15" hidden="false" customHeight="false" outlineLevel="0" collapsed="false">
      <c r="A10" s="7" t="s">
        <v>12</v>
      </c>
      <c r="B10" s="7" t="s">
        <v>11</v>
      </c>
      <c r="C10" s="8" t="n">
        <f aca="false">'Volumétrie BDD'!C44</f>
        <v>30.4281349461858</v>
      </c>
      <c r="D10" s="8" t="n">
        <f aca="false">'Volumétrie BDD'!D44</f>
        <v>31.5705556066574</v>
      </c>
      <c r="E10" s="8" t="n">
        <f aca="false">'Volumétrie BDD'!E44</f>
        <v>32.7129762671289</v>
      </c>
      <c r="F10" s="8" t="n">
        <f aca="false">'Volumétrie BDD'!F44</f>
        <v>33.8553969276005</v>
      </c>
      <c r="G10" s="8" t="n">
        <f aca="false">'Volumétrie BDD'!G44</f>
        <v>34.997817588072</v>
      </c>
    </row>
    <row r="11" customFormat="false" ht="15" hidden="false" customHeight="false" outlineLevel="0" collapsed="false">
      <c r="A11" s="5" t="s">
        <v>13</v>
      </c>
      <c r="B11" s="5" t="s">
        <v>11</v>
      </c>
      <c r="C11" s="6" t="n">
        <f aca="false">'Volumétrie BDD'!C45</f>
        <v>91.2844048385575</v>
      </c>
      <c r="D11" s="6" t="n">
        <f aca="false">'Volumétrie BDD'!D45</f>
        <v>94.7116668199721</v>
      </c>
      <c r="E11" s="6" t="n">
        <f aca="false">'Volumétrie BDD'!E45</f>
        <v>98.1389288013868</v>
      </c>
      <c r="F11" s="6" t="n">
        <f aca="false">'Volumétrie BDD'!F45</f>
        <v>101.566190782801</v>
      </c>
      <c r="G11" s="6" t="n">
        <f aca="false">'Volumétrie BDD'!G45</f>
        <v>104.993452764216</v>
      </c>
    </row>
    <row r="12" customFormat="false" ht="15" hidden="false" customHeight="false" outlineLevel="0" collapsed="false">
      <c r="A12" s="7" t="s">
        <v>14</v>
      </c>
      <c r="B12" s="7" t="s">
        <v>11</v>
      </c>
      <c r="C12" s="8" t="n">
        <f aca="false">'Volumétrie BDD'!C46</f>
        <v>3.2492361558252</v>
      </c>
      <c r="D12" s="8" t="n">
        <f aca="false">'Volumétrie BDD'!D46</f>
        <v>5.2484723116504</v>
      </c>
      <c r="E12" s="8" t="n">
        <f aca="false">'Volumétrie BDD'!E46</f>
        <v>7.2477084674756</v>
      </c>
      <c r="F12" s="8" t="n">
        <f aca="false">'Volumétrie BDD'!F46</f>
        <v>9.24694462330081</v>
      </c>
      <c r="G12" s="8" t="n">
        <f aca="false">'Volumétrie BDD'!G46</f>
        <v>11.246180779126</v>
      </c>
    </row>
    <row r="13" customFormat="false" ht="15" hidden="false" customHeight="false" outlineLevel="0" collapsed="false">
      <c r="A13" s="5" t="s">
        <v>15</v>
      </c>
      <c r="B13" s="5"/>
      <c r="C13" s="10" t="str">
        <f aca="false">'Volumétrie BDD'!C48</f>
        <v>Non</v>
      </c>
      <c r="D13" s="10" t="str">
        <f aca="false">'Volumétrie BDD'!D48</f>
        <v>Non</v>
      </c>
      <c r="E13" s="10" t="str">
        <f aca="false">'Volumétrie BDD'!E48</f>
        <v>Non</v>
      </c>
      <c r="F13" s="10" t="str">
        <f aca="false">'Volumétrie BDD'!F48</f>
        <v>Non</v>
      </c>
      <c r="G13" s="10" t="str">
        <f aca="false">'Volumétrie BDD'!G48</f>
        <v>Non</v>
      </c>
    </row>
    <row r="14" customFormat="false" ht="15" hidden="false" customHeight="false" outlineLevel="0" collapsed="false">
      <c r="A14" s="7" t="s">
        <v>16</v>
      </c>
      <c r="B14" s="7" t="s">
        <v>5</v>
      </c>
      <c r="C14" s="8" t="n">
        <f aca="false">'Stockage fichiers'!C12</f>
        <v>850500</v>
      </c>
      <c r="D14" s="8" t="n">
        <f aca="false">'Stockage fichiers'!D12</f>
        <v>1701000</v>
      </c>
      <c r="E14" s="8" t="n">
        <f aca="false">'Stockage fichiers'!E12</f>
        <v>2551500</v>
      </c>
      <c r="F14" s="8" t="n">
        <f aca="false">'Stockage fichiers'!F12</f>
        <v>3402000</v>
      </c>
      <c r="G14" s="8" t="n">
        <f aca="false">'Stockage fichiers'!G12</f>
        <v>4252500</v>
      </c>
    </row>
    <row r="15" customFormat="false" ht="15" hidden="false" customHeight="false" outlineLevel="0" collapsed="false">
      <c r="A15" s="5" t="s">
        <v>17</v>
      </c>
      <c r="B15" s="5" t="s">
        <v>18</v>
      </c>
      <c r="C15" s="11" t="n">
        <f aca="false">'Stockage fichiers'!C13</f>
        <v>0.686055421829224</v>
      </c>
      <c r="D15" s="11" t="n">
        <f aca="false">'Stockage fichiers'!D13</f>
        <v>1.37211084365845</v>
      </c>
      <c r="E15" s="11" t="n">
        <f aca="false">'Stockage fichiers'!E13</f>
        <v>2.05816626548767</v>
      </c>
      <c r="F15" s="11" t="n">
        <f aca="false">'Stockage fichiers'!F13</f>
        <v>2.74422168731689</v>
      </c>
      <c r="G15" s="11" t="n">
        <f aca="false">'Stockage fichiers'!G13</f>
        <v>3.43027710914612</v>
      </c>
    </row>
    <row r="16" customFormat="false" ht="15" hidden="false" customHeight="false" outlineLevel="0" collapsed="false">
      <c r="A16" s="7" t="s">
        <v>19</v>
      </c>
      <c r="B16" s="7" t="s">
        <v>18</v>
      </c>
      <c r="C16" s="12" t="n">
        <f aca="false">'Stockage fichiers'!C14</f>
        <v>1.37211084365845</v>
      </c>
      <c r="D16" s="12" t="n">
        <f aca="false">'Stockage fichiers'!D14</f>
        <v>2.74422168731689</v>
      </c>
      <c r="E16" s="12" t="n">
        <f aca="false">'Stockage fichiers'!E14</f>
        <v>4.11633253097534</v>
      </c>
      <c r="F16" s="12" t="n">
        <f aca="false">'Stockage fichiers'!F14</f>
        <v>5.48844337463379</v>
      </c>
      <c r="G16" s="12" t="n">
        <f aca="false">'Stockage fichiers'!G14</f>
        <v>6.86055421829224</v>
      </c>
    </row>
    <row r="18" customFormat="false" ht="15" hidden="false" customHeight="false" outlineLevel="0" collapsed="false">
      <c r="A18" s="13" t="s">
        <v>20</v>
      </c>
      <c r="G18" s="14" t="n">
        <f aca="false">IFERROR(G15*1024/G9,0)</f>
        <v>780.843699019439</v>
      </c>
    </row>
    <row r="20" customFormat="false" ht="15" hidden="false" customHeight="false" outlineLevel="0" collapsed="false">
      <c r="A20" s="13" t="s">
        <v>21</v>
      </c>
    </row>
    <row r="21" customFormat="false" ht="15" hidden="false" customHeight="false" outlineLevel="0" collapsed="false">
      <c r="A21" s="15" t="s">
        <v>22</v>
      </c>
    </row>
    <row r="22" customFormat="false" ht="15" hidden="false" customHeight="false" outlineLevel="0" collapsed="false">
      <c r="A22" s="15" t="s">
        <v>23</v>
      </c>
    </row>
    <row r="23" customFormat="false" ht="15" hidden="false" customHeight="false" outlineLevel="0" collapsed="false">
      <c r="A23" s="15" t="s">
        <v>24</v>
      </c>
    </row>
    <row r="24" customFormat="false" ht="15" hidden="false" customHeight="false" outlineLevel="0" collapsed="false">
      <c r="A24" s="15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3" customFormat="false" ht="15" hidden="false" customHeight="false" outlineLevel="0" collapsed="false">
      <c r="A3" s="2" t="s">
        <v>28</v>
      </c>
    </row>
    <row r="5" customFormat="false" ht="15" hidden="false" customHeight="false" outlineLevel="0" collapsed="false">
      <c r="A5" s="16" t="s">
        <v>29</v>
      </c>
      <c r="B5" s="16" t="s">
        <v>30</v>
      </c>
      <c r="C5" s="16" t="s">
        <v>3</v>
      </c>
      <c r="D5" s="16" t="s">
        <v>31</v>
      </c>
    </row>
    <row r="6" customFormat="false" ht="15" hidden="false" customHeight="false" outlineLevel="0" collapsed="false">
      <c r="A6" s="16" t="s">
        <v>32</v>
      </c>
      <c r="B6" s="16"/>
      <c r="C6" s="16"/>
      <c r="D6" s="16"/>
    </row>
    <row r="7" customFormat="false" ht="15" hidden="false" customHeight="false" outlineLevel="0" collapsed="false">
      <c r="A7" s="5" t="s">
        <v>33</v>
      </c>
      <c r="B7" s="17" t="n">
        <v>225000</v>
      </c>
      <c r="C7" s="5" t="s">
        <v>5</v>
      </c>
      <c r="D7" s="18" t="s">
        <v>34</v>
      </c>
    </row>
    <row r="8" customFormat="false" ht="15" hidden="false" customHeight="false" outlineLevel="0" collapsed="false">
      <c r="A8" s="5" t="s">
        <v>35</v>
      </c>
      <c r="B8" s="19" t="n">
        <v>0</v>
      </c>
      <c r="C8" s="5" t="s">
        <v>36</v>
      </c>
      <c r="D8" s="18" t="s">
        <v>37</v>
      </c>
    </row>
    <row r="9" customFormat="false" ht="15" hidden="false" customHeight="false" outlineLevel="0" collapsed="false">
      <c r="A9" s="5" t="s">
        <v>38</v>
      </c>
      <c r="B9" s="20" t="n">
        <v>2027</v>
      </c>
      <c r="C9" s="5" t="s">
        <v>39</v>
      </c>
      <c r="D9" s="18" t="s">
        <v>40</v>
      </c>
    </row>
    <row r="10" customFormat="false" ht="15" hidden="false" customHeight="false" outlineLevel="0" collapsed="false">
      <c r="A10" s="5" t="s">
        <v>41</v>
      </c>
      <c r="B10" s="21" t="n">
        <v>1.05</v>
      </c>
      <c r="C10" s="5" t="s">
        <v>42</v>
      </c>
      <c r="D10" s="18" t="s">
        <v>43</v>
      </c>
    </row>
    <row r="12" customFormat="false" ht="15" hidden="false" customHeight="false" outlineLevel="0" collapsed="false">
      <c r="A12" s="16" t="s">
        <v>44</v>
      </c>
      <c r="B12" s="16"/>
      <c r="C12" s="16"/>
      <c r="D12" s="16"/>
    </row>
    <row r="13" customFormat="false" ht="15" hidden="false" customHeight="false" outlineLevel="0" collapsed="false">
      <c r="A13" s="5" t="s">
        <v>45</v>
      </c>
      <c r="B13" s="21" t="n">
        <v>1.1</v>
      </c>
      <c r="C13" s="5" t="s">
        <v>7</v>
      </c>
      <c r="D13" s="18" t="s">
        <v>46</v>
      </c>
    </row>
    <row r="14" customFormat="false" ht="15" hidden="false" customHeight="false" outlineLevel="0" collapsed="false">
      <c r="A14" s="5" t="s">
        <v>47</v>
      </c>
      <c r="B14" s="21" t="n">
        <v>1.5</v>
      </c>
      <c r="C14" s="5" t="s">
        <v>7</v>
      </c>
      <c r="D14" s="18" t="s">
        <v>48</v>
      </c>
    </row>
    <row r="15" customFormat="false" ht="15" hidden="false" customHeight="false" outlineLevel="0" collapsed="false">
      <c r="A15" s="5" t="s">
        <v>49</v>
      </c>
      <c r="B15" s="22" t="n">
        <v>6</v>
      </c>
      <c r="C15" s="5" t="s">
        <v>7</v>
      </c>
      <c r="D15" s="18" t="s">
        <v>50</v>
      </c>
    </row>
    <row r="16" customFormat="false" ht="15" hidden="false" customHeight="false" outlineLevel="0" collapsed="false">
      <c r="A16" s="5" t="s">
        <v>51</v>
      </c>
      <c r="B16" s="21" t="n">
        <v>1</v>
      </c>
      <c r="C16" s="5" t="s">
        <v>7</v>
      </c>
      <c r="D16" s="18" t="s">
        <v>52</v>
      </c>
    </row>
    <row r="17" customFormat="false" ht="15" hidden="false" customHeight="false" outlineLevel="0" collapsed="false">
      <c r="A17" s="5" t="s">
        <v>53</v>
      </c>
      <c r="B17" s="20" t="n">
        <v>12</v>
      </c>
      <c r="C17" s="5" t="s">
        <v>54</v>
      </c>
      <c r="D17" s="18" t="s">
        <v>55</v>
      </c>
    </row>
    <row r="19" customFormat="false" ht="15" hidden="false" customHeight="false" outlineLevel="0" collapsed="false">
      <c r="A19" s="16" t="s">
        <v>56</v>
      </c>
      <c r="B19" s="16"/>
      <c r="C19" s="16"/>
      <c r="D19" s="16"/>
    </row>
    <row r="20" customFormat="false" ht="15" hidden="false" customHeight="false" outlineLevel="0" collapsed="false">
      <c r="A20" s="5" t="s">
        <v>57</v>
      </c>
      <c r="B20" s="23" t="n">
        <v>280</v>
      </c>
      <c r="C20" s="5" t="s">
        <v>58</v>
      </c>
      <c r="D20" s="18" t="s">
        <v>59</v>
      </c>
    </row>
    <row r="21" customFormat="false" ht="15" hidden="false" customHeight="false" outlineLevel="0" collapsed="false">
      <c r="A21" s="5" t="s">
        <v>60</v>
      </c>
      <c r="B21" s="23" t="n">
        <v>240</v>
      </c>
      <c r="C21" s="5" t="s">
        <v>58</v>
      </c>
      <c r="D21" s="18" t="s">
        <v>61</v>
      </c>
    </row>
    <row r="22" customFormat="false" ht="15" hidden="false" customHeight="false" outlineLevel="0" collapsed="false">
      <c r="A22" s="5" t="s">
        <v>62</v>
      </c>
      <c r="B22" s="23" t="n">
        <v>290</v>
      </c>
      <c r="C22" s="5" t="s">
        <v>58</v>
      </c>
      <c r="D22" s="18" t="s">
        <v>63</v>
      </c>
    </row>
    <row r="23" customFormat="false" ht="15" hidden="false" customHeight="false" outlineLevel="0" collapsed="false">
      <c r="A23" s="5" t="s">
        <v>64</v>
      </c>
      <c r="B23" s="23" t="n">
        <v>250</v>
      </c>
      <c r="C23" s="5" t="s">
        <v>58</v>
      </c>
      <c r="D23" s="18" t="s">
        <v>65</v>
      </c>
    </row>
    <row r="24" customFormat="false" ht="15" hidden="false" customHeight="false" outlineLevel="0" collapsed="false">
      <c r="A24" s="5" t="s">
        <v>66</v>
      </c>
      <c r="B24" s="23" t="n">
        <v>100</v>
      </c>
      <c r="C24" s="5" t="s">
        <v>58</v>
      </c>
      <c r="D24" s="18" t="s">
        <v>67</v>
      </c>
    </row>
    <row r="26" customFormat="false" ht="15" hidden="false" customHeight="false" outlineLevel="0" collapsed="false">
      <c r="A26" s="16" t="s">
        <v>68</v>
      </c>
      <c r="B26" s="16"/>
      <c r="C26" s="16"/>
      <c r="D26" s="16"/>
    </row>
    <row r="27" customFormat="false" ht="15" hidden="false" customHeight="false" outlineLevel="0" collapsed="false">
      <c r="A27" s="5" t="s">
        <v>69</v>
      </c>
      <c r="B27" s="21" t="n">
        <v>0.7</v>
      </c>
      <c r="C27" s="5" t="s">
        <v>42</v>
      </c>
      <c r="D27" s="18" t="s">
        <v>70</v>
      </c>
    </row>
    <row r="28" customFormat="false" ht="15" hidden="false" customHeight="false" outlineLevel="0" collapsed="false">
      <c r="A28" s="5" t="s">
        <v>71</v>
      </c>
      <c r="B28" s="21" t="n">
        <v>0.4</v>
      </c>
      <c r="C28" s="5" t="s">
        <v>42</v>
      </c>
      <c r="D28" s="18" t="s">
        <v>72</v>
      </c>
    </row>
    <row r="29" customFormat="false" ht="15" hidden="false" customHeight="false" outlineLevel="0" collapsed="false">
      <c r="A29" s="5" t="s">
        <v>73</v>
      </c>
      <c r="B29" s="21" t="n">
        <v>0.35</v>
      </c>
      <c r="C29" s="5" t="s">
        <v>42</v>
      </c>
      <c r="D29" s="18" t="s">
        <v>74</v>
      </c>
    </row>
    <row r="30" customFormat="false" ht="15" hidden="false" customHeight="false" outlineLevel="0" collapsed="false">
      <c r="A30" s="5" t="s">
        <v>75</v>
      </c>
      <c r="B30" s="21" t="n">
        <v>0.4</v>
      </c>
      <c r="C30" s="5" t="s">
        <v>42</v>
      </c>
      <c r="D30" s="18" t="s">
        <v>74</v>
      </c>
    </row>
    <row r="31" customFormat="false" ht="15" hidden="false" customHeight="false" outlineLevel="0" collapsed="false">
      <c r="A31" s="5" t="s">
        <v>76</v>
      </c>
      <c r="B31" s="21" t="n">
        <v>0.9</v>
      </c>
      <c r="C31" s="5" t="s">
        <v>42</v>
      </c>
      <c r="D31" s="18" t="s">
        <v>77</v>
      </c>
    </row>
    <row r="32" customFormat="false" ht="15" hidden="false" customHeight="false" outlineLevel="0" collapsed="false">
      <c r="A32" s="5" t="s">
        <v>78</v>
      </c>
      <c r="B32" s="24" t="n">
        <v>1.25</v>
      </c>
      <c r="C32" s="5" t="s">
        <v>79</v>
      </c>
      <c r="D32" s="18" t="s">
        <v>80</v>
      </c>
    </row>
    <row r="33" customFormat="false" ht="15" hidden="false" customHeight="false" outlineLevel="0" collapsed="false">
      <c r="A33" s="5" t="s">
        <v>81</v>
      </c>
      <c r="B33" s="25" t="n">
        <v>0.5</v>
      </c>
      <c r="C33" s="5" t="s">
        <v>11</v>
      </c>
      <c r="D33" s="18" t="s">
        <v>82</v>
      </c>
    </row>
    <row r="34" customFormat="false" ht="15" hidden="false" customHeight="false" outlineLevel="0" collapsed="false">
      <c r="A34" s="5" t="s">
        <v>83</v>
      </c>
      <c r="B34" s="26" t="n">
        <v>10</v>
      </c>
      <c r="C34" s="5" t="s">
        <v>84</v>
      </c>
      <c r="D34" s="18" t="s">
        <v>85</v>
      </c>
    </row>
    <row r="36" customFormat="false" ht="15" hidden="false" customHeight="false" outlineLevel="0" collapsed="false">
      <c r="A36" s="16" t="s">
        <v>86</v>
      </c>
      <c r="B36" s="16"/>
      <c r="C36" s="16"/>
      <c r="D36" s="16"/>
    </row>
    <row r="37" customFormat="false" ht="15" hidden="false" customHeight="false" outlineLevel="0" collapsed="false">
      <c r="A37" s="5" t="s">
        <v>87</v>
      </c>
      <c r="B37" s="24" t="n">
        <v>1.5</v>
      </c>
      <c r="C37" s="5" t="s">
        <v>88</v>
      </c>
      <c r="D37" s="18" t="s">
        <v>89</v>
      </c>
    </row>
    <row r="38" customFormat="false" ht="15" hidden="false" customHeight="false" outlineLevel="0" collapsed="false">
      <c r="A38" s="5" t="s">
        <v>90</v>
      </c>
      <c r="B38" s="21" t="n">
        <v>1.2</v>
      </c>
      <c r="C38" s="5" t="s">
        <v>88</v>
      </c>
      <c r="D38" s="18" t="s">
        <v>91</v>
      </c>
    </row>
    <row r="39" customFormat="false" ht="15" hidden="false" customHeight="false" outlineLevel="0" collapsed="false">
      <c r="A39" s="5" t="s">
        <v>92</v>
      </c>
      <c r="B39" s="21" t="n">
        <v>0.15</v>
      </c>
      <c r="C39" s="5" t="s">
        <v>88</v>
      </c>
      <c r="D39" s="18" t="s">
        <v>93</v>
      </c>
    </row>
    <row r="40" customFormat="false" ht="15" hidden="false" customHeight="false" outlineLevel="0" collapsed="false">
      <c r="A40" s="5" t="s">
        <v>94</v>
      </c>
      <c r="B40" s="20" t="n">
        <v>10</v>
      </c>
      <c r="C40" s="5" t="s">
        <v>84</v>
      </c>
      <c r="D40" s="18" t="s">
        <v>95</v>
      </c>
    </row>
    <row r="41" customFormat="false" ht="15" hidden="false" customHeight="false" outlineLevel="0" collapsed="false">
      <c r="A41" s="5" t="s">
        <v>96</v>
      </c>
      <c r="B41" s="25" t="n">
        <v>2</v>
      </c>
      <c r="C41" s="5" t="s">
        <v>79</v>
      </c>
      <c r="D41" s="18" t="s">
        <v>97</v>
      </c>
    </row>
    <row r="43" customFormat="false" ht="15" hidden="false" customHeight="false" outlineLevel="0" collapsed="false">
      <c r="A43" s="16" t="s">
        <v>98</v>
      </c>
      <c r="B43" s="16"/>
      <c r="C43" s="16"/>
      <c r="D43" s="16"/>
    </row>
    <row r="44" customFormat="false" ht="15" hidden="false" customHeight="false" outlineLevel="0" collapsed="false">
      <c r="A44" s="5" t="s">
        <v>99</v>
      </c>
      <c r="B44" s="20" t="n">
        <v>3</v>
      </c>
      <c r="C44" s="5" t="s">
        <v>100</v>
      </c>
      <c r="D44" s="18" t="s">
        <v>101</v>
      </c>
    </row>
    <row r="45" customFormat="false" ht="15" hidden="false" customHeight="false" outlineLevel="0" collapsed="false">
      <c r="A45" s="5" t="s">
        <v>102</v>
      </c>
      <c r="B45" s="20" t="n">
        <v>20</v>
      </c>
      <c r="C45" s="5" t="s">
        <v>11</v>
      </c>
      <c r="D45" s="18" t="s">
        <v>103</v>
      </c>
    </row>
    <row r="46" customFormat="false" ht="15" hidden="false" customHeight="false" outlineLevel="0" collapsed="false">
      <c r="A46" s="5" t="s">
        <v>104</v>
      </c>
      <c r="B46" s="27" t="n">
        <v>0.7</v>
      </c>
      <c r="C46" s="5" t="s">
        <v>36</v>
      </c>
      <c r="D46" s="18" t="s">
        <v>105</v>
      </c>
    </row>
    <row r="47" customFormat="false" ht="15" hidden="false" customHeight="false" outlineLevel="0" collapsed="false">
      <c r="A47" s="5" t="s">
        <v>106</v>
      </c>
      <c r="B47" s="25" t="n">
        <v>2.5</v>
      </c>
      <c r="C47" s="5" t="s">
        <v>107</v>
      </c>
      <c r="D47" s="18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7" min="3" style="0" width="15"/>
  </cols>
  <sheetData>
    <row r="1" customFormat="false" ht="17.3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15" hidden="false" customHeight="false" outlineLevel="0" collapsed="false">
      <c r="A4" s="3" t="s">
        <v>111</v>
      </c>
      <c r="B4" s="4" t="s">
        <v>3</v>
      </c>
      <c r="C4" s="4" t="str">
        <f aca="false">TEXT(Hypothèses!$B$9+0,"0")</f>
        <v>2027</v>
      </c>
      <c r="D4" s="4" t="str">
        <f aca="false">TEXT(Hypothèses!$B$9+1,"0")</f>
        <v>2028</v>
      </c>
      <c r="E4" s="4" t="str">
        <f aca="false">TEXT(Hypothèses!$B$9+2,"0")</f>
        <v>2029</v>
      </c>
      <c r="F4" s="4" t="str">
        <f aca="false">TEXT(Hypothèses!$B$9+3,"0")</f>
        <v>2030</v>
      </c>
      <c r="G4" s="4" t="str">
        <f aca="false">TEXT(Hypothèses!$B$9+4,"0")</f>
        <v>2031</v>
      </c>
    </row>
    <row r="5" customFormat="false" ht="15" hidden="false" customHeight="false" outlineLevel="0" collapsed="false">
      <c r="A5" s="5" t="s">
        <v>112</v>
      </c>
      <c r="B5" s="5"/>
      <c r="C5" s="28" t="n">
        <v>1</v>
      </c>
      <c r="D5" s="28" t="n">
        <v>2</v>
      </c>
      <c r="E5" s="28" t="n">
        <v>3</v>
      </c>
      <c r="F5" s="28" t="n">
        <v>4</v>
      </c>
      <c r="G5" s="28" t="n">
        <v>5</v>
      </c>
    </row>
    <row r="6" customFormat="false" ht="15" hidden="false" customHeight="false" outlineLevel="0" collapsed="false">
      <c r="A6" s="5" t="s">
        <v>4</v>
      </c>
      <c r="B6" s="5" t="s">
        <v>5</v>
      </c>
      <c r="C6" s="29" t="n">
        <f aca="false">Hypothèses!$B$7*(1+Hypothèses!$B$8)^(C5-1)</f>
        <v>225000</v>
      </c>
      <c r="D6" s="29" t="n">
        <f aca="false">Hypothèses!$B$7*(1+Hypothèses!$B$8)^(D5-1)</f>
        <v>225000</v>
      </c>
      <c r="E6" s="29" t="n">
        <f aca="false">Hypothèses!$B$7*(1+Hypothèses!$B$8)^(E5-1)</f>
        <v>225000</v>
      </c>
      <c r="F6" s="29" t="n">
        <f aca="false">Hypothèses!$B$7*(1+Hypothèses!$B$8)^(F5-1)</f>
        <v>225000</v>
      </c>
      <c r="G6" s="29" t="n">
        <f aca="false">Hypothèses!$B$7*(1+Hypothèses!$B$8)^(G5-1)</f>
        <v>225000</v>
      </c>
    </row>
    <row r="7" customFormat="false" ht="15" hidden="false" customHeight="false" outlineLevel="0" collapsed="false">
      <c r="A7" s="5" t="s">
        <v>113</v>
      </c>
      <c r="B7" s="5" t="s">
        <v>7</v>
      </c>
      <c r="C7" s="29" t="n">
        <f aca="false">C6*Hypothèses!$B$10</f>
        <v>236250</v>
      </c>
      <c r="D7" s="29" t="n">
        <f aca="false">D6*Hypothèses!$B$10</f>
        <v>236250</v>
      </c>
      <c r="E7" s="29" t="n">
        <f aca="false">E6*Hypothèses!$B$10</f>
        <v>236250</v>
      </c>
      <c r="F7" s="29" t="n">
        <f aca="false">F6*Hypothèses!$B$10</f>
        <v>236250</v>
      </c>
      <c r="G7" s="29" t="n">
        <f aca="false">G6*Hypothèses!$B$10</f>
        <v>236250</v>
      </c>
    </row>
    <row r="8" customFormat="false" ht="15" hidden="false" customHeight="false" outlineLevel="0" collapsed="false">
      <c r="A8" s="30" t="s">
        <v>114</v>
      </c>
      <c r="B8" s="5" t="s">
        <v>7</v>
      </c>
      <c r="C8" s="31" t="n">
        <f aca="false">SUMPRODUCT(($C$5:$C$5&gt;C$5-Hypothèses!$B$34)*$C$7:C7)</f>
        <v>236250</v>
      </c>
      <c r="D8" s="31" t="n">
        <f aca="false">SUMPRODUCT(($C$5:$D$5&gt;D$5-Hypothèses!$B$34)*$C$7:D7)</f>
        <v>472500</v>
      </c>
      <c r="E8" s="31" t="n">
        <f aca="false">SUMPRODUCT(($C$5:$E$5&gt;E$5-Hypothèses!$B$34)*$C$7:E7)</f>
        <v>708750</v>
      </c>
      <c r="F8" s="31" t="n">
        <f aca="false">SUMPRODUCT(($C$5:$F$5&gt;F$5-Hypothèses!$B$34)*$C$7:F7)</f>
        <v>945000</v>
      </c>
      <c r="G8" s="31" t="n">
        <f aca="false">SUMPRODUCT(($C$5:$G$5&gt;G$5-Hypothèses!$B$34)*$C$7:G7)</f>
        <v>1181250</v>
      </c>
    </row>
    <row r="10" customFormat="false" ht="15" hidden="false" customHeight="false" outlineLevel="0" collapsed="false">
      <c r="A10" s="32" t="s">
        <v>57</v>
      </c>
      <c r="B10" s="32"/>
      <c r="C10" s="32"/>
      <c r="D10" s="32"/>
      <c r="E10" s="32"/>
      <c r="F10" s="32"/>
      <c r="G10" s="32"/>
    </row>
    <row r="11" customFormat="false" ht="15" hidden="false" customHeight="false" outlineLevel="0" collapsed="false">
      <c r="A11" s="5" t="s">
        <v>115</v>
      </c>
      <c r="B11" s="5" t="s">
        <v>7</v>
      </c>
      <c r="C11" s="29" t="n">
        <f aca="false">C8</f>
        <v>236250</v>
      </c>
      <c r="D11" s="29" t="n">
        <f aca="false">D8</f>
        <v>472500</v>
      </c>
      <c r="E11" s="29" t="n">
        <f aca="false">E8</f>
        <v>708750</v>
      </c>
      <c r="F11" s="29" t="n">
        <f aca="false">F8</f>
        <v>945000</v>
      </c>
      <c r="G11" s="29" t="n">
        <f aca="false">G8</f>
        <v>1181250</v>
      </c>
    </row>
    <row r="12" customFormat="false" ht="15" hidden="false" customHeight="false" outlineLevel="0" collapsed="false">
      <c r="A12" s="5" t="s">
        <v>116</v>
      </c>
      <c r="B12" s="5" t="s">
        <v>11</v>
      </c>
      <c r="C12" s="33" t="n">
        <f aca="false">C11*Hypothèses!$B$20*Hypothèses!$B$32/1073741824</f>
        <v>0.0770087353885174</v>
      </c>
      <c r="D12" s="33" t="n">
        <f aca="false">D11*Hypothèses!$B$20*Hypothèses!$B$32/1073741824</f>
        <v>0.154017470777035</v>
      </c>
      <c r="E12" s="33" t="n">
        <f aca="false">E11*Hypothèses!$B$20*Hypothèses!$B$32/1073741824</f>
        <v>0.231026206165552</v>
      </c>
      <c r="F12" s="33" t="n">
        <f aca="false">F11*Hypothèses!$B$20*Hypothèses!$B$32/1073741824</f>
        <v>0.30803494155407</v>
      </c>
      <c r="G12" s="33" t="n">
        <f aca="false">G11*Hypothèses!$B$20*Hypothèses!$B$32/1073741824</f>
        <v>0.385043676942587</v>
      </c>
    </row>
    <row r="13" customFormat="false" ht="15" hidden="false" customHeight="false" outlineLevel="0" collapsed="false">
      <c r="A13" s="5" t="s">
        <v>117</v>
      </c>
      <c r="B13" s="5" t="s">
        <v>11</v>
      </c>
      <c r="C13" s="33" t="n">
        <f aca="false">C12*Hypothèses!$B$27</f>
        <v>0.0539061147719622</v>
      </c>
      <c r="D13" s="33" t="n">
        <f aca="false">D12*Hypothèses!$B$27</f>
        <v>0.107812229543924</v>
      </c>
      <c r="E13" s="33" t="n">
        <f aca="false">E12*Hypothèses!$B$27</f>
        <v>0.161718344315887</v>
      </c>
      <c r="F13" s="33" t="n">
        <f aca="false">F12*Hypothèses!$B$27</f>
        <v>0.215624459087849</v>
      </c>
      <c r="G13" s="33" t="n">
        <f aca="false">G12*Hypothèses!$B$27</f>
        <v>0.269530573859811</v>
      </c>
    </row>
    <row r="14" customFormat="false" ht="15" hidden="false" customHeight="false" outlineLevel="0" collapsed="false">
      <c r="A14" s="30" t="s">
        <v>118</v>
      </c>
      <c r="B14" s="5" t="s">
        <v>11</v>
      </c>
      <c r="C14" s="34" t="n">
        <f aca="false">C12+C13</f>
        <v>0.13091485016048</v>
      </c>
      <c r="D14" s="34" t="n">
        <f aca="false">D12+D13</f>
        <v>0.261829700320959</v>
      </c>
      <c r="E14" s="34" t="n">
        <f aca="false">E12+E13</f>
        <v>0.392744550481439</v>
      </c>
      <c r="F14" s="34" t="n">
        <f aca="false">F12+F13</f>
        <v>0.523659400641918</v>
      </c>
      <c r="G14" s="34" t="n">
        <f aca="false">G12+G13</f>
        <v>0.654574250802398</v>
      </c>
    </row>
    <row r="16" customFormat="false" ht="15" hidden="false" customHeight="false" outlineLevel="0" collapsed="false">
      <c r="A16" s="32" t="s">
        <v>60</v>
      </c>
      <c r="B16" s="32"/>
      <c r="C16" s="32"/>
      <c r="D16" s="32"/>
      <c r="E16" s="32"/>
      <c r="F16" s="32"/>
      <c r="G16" s="32"/>
    </row>
    <row r="17" customFormat="false" ht="15" hidden="false" customHeight="false" outlineLevel="0" collapsed="false">
      <c r="A17" s="5" t="s">
        <v>115</v>
      </c>
      <c r="B17" s="5" t="s">
        <v>7</v>
      </c>
      <c r="C17" s="29" t="n">
        <f aca="false">C8*Hypothèses!$B$16</f>
        <v>236250</v>
      </c>
      <c r="D17" s="29" t="n">
        <f aca="false">D8*Hypothèses!$B$16</f>
        <v>472500</v>
      </c>
      <c r="E17" s="29" t="n">
        <f aca="false">E8*Hypothèses!$B$16</f>
        <v>708750</v>
      </c>
      <c r="F17" s="29" t="n">
        <f aca="false">F8*Hypothèses!$B$16</f>
        <v>945000</v>
      </c>
      <c r="G17" s="29" t="n">
        <f aca="false">G8*Hypothèses!$B$16</f>
        <v>1181250</v>
      </c>
    </row>
    <row r="18" customFormat="false" ht="15" hidden="false" customHeight="false" outlineLevel="0" collapsed="false">
      <c r="A18" s="5" t="s">
        <v>116</v>
      </c>
      <c r="B18" s="5" t="s">
        <v>11</v>
      </c>
      <c r="C18" s="33" t="n">
        <f aca="false">C17*Hypothèses!$B$21*Hypothèses!$B$32/1073741824</f>
        <v>0.066007487475872</v>
      </c>
      <c r="D18" s="33" t="n">
        <f aca="false">D17*Hypothèses!$B$21*Hypothèses!$B$32/1073741824</f>
        <v>0.132014974951744</v>
      </c>
      <c r="E18" s="33" t="n">
        <f aca="false">E17*Hypothèses!$B$21*Hypothèses!$B$32/1073741824</f>
        <v>0.198022462427616</v>
      </c>
      <c r="F18" s="33" t="n">
        <f aca="false">F17*Hypothèses!$B$21*Hypothèses!$B$32/1073741824</f>
        <v>0.264029949903488</v>
      </c>
      <c r="G18" s="33" t="n">
        <f aca="false">G17*Hypothèses!$B$21*Hypothèses!$B$32/1073741824</f>
        <v>0.33003743737936</v>
      </c>
    </row>
    <row r="19" customFormat="false" ht="15" hidden="false" customHeight="false" outlineLevel="0" collapsed="false">
      <c r="A19" s="5" t="s">
        <v>117</v>
      </c>
      <c r="B19" s="5" t="s">
        <v>11</v>
      </c>
      <c r="C19" s="33" t="n">
        <f aca="false">C18*Hypothèses!$B$28</f>
        <v>0.0264029949903488</v>
      </c>
      <c r="D19" s="33" t="n">
        <f aca="false">D18*Hypothèses!$B$28</f>
        <v>0.0528059899806976</v>
      </c>
      <c r="E19" s="33" t="n">
        <f aca="false">E18*Hypothèses!$B$28</f>
        <v>0.0792089849710465</v>
      </c>
      <c r="F19" s="33" t="n">
        <f aca="false">F18*Hypothèses!$B$28</f>
        <v>0.105611979961395</v>
      </c>
      <c r="G19" s="33" t="n">
        <f aca="false">G18*Hypothèses!$B$28</f>
        <v>0.132014974951744</v>
      </c>
    </row>
    <row r="20" customFormat="false" ht="15" hidden="false" customHeight="false" outlineLevel="0" collapsed="false">
      <c r="A20" s="30" t="s">
        <v>118</v>
      </c>
      <c r="B20" s="5" t="s">
        <v>11</v>
      </c>
      <c r="C20" s="34" t="n">
        <f aca="false">C18+C19</f>
        <v>0.0924104824662209</v>
      </c>
      <c r="D20" s="34" t="n">
        <f aca="false">D18+D19</f>
        <v>0.184820964932442</v>
      </c>
      <c r="E20" s="34" t="n">
        <f aca="false">E18+E19</f>
        <v>0.277231447398663</v>
      </c>
      <c r="F20" s="34" t="n">
        <f aca="false">F18+F19</f>
        <v>0.369641929864883</v>
      </c>
      <c r="G20" s="34" t="n">
        <f aca="false">G18+G19</f>
        <v>0.462052412331104</v>
      </c>
    </row>
    <row r="22" customFormat="false" ht="15" hidden="false" customHeight="false" outlineLevel="0" collapsed="false">
      <c r="A22" s="32" t="s">
        <v>62</v>
      </c>
      <c r="B22" s="32"/>
      <c r="C22" s="32"/>
      <c r="D22" s="32"/>
      <c r="E22" s="32"/>
      <c r="F22" s="32"/>
      <c r="G22" s="32"/>
    </row>
    <row r="23" customFormat="false" ht="15" hidden="false" customHeight="false" outlineLevel="0" collapsed="false">
      <c r="A23" s="5" t="s">
        <v>115</v>
      </c>
      <c r="B23" s="5" t="s">
        <v>7</v>
      </c>
      <c r="C23" s="29" t="n">
        <f aca="false">C8*Hypothèses!$B$13</f>
        <v>259875</v>
      </c>
      <c r="D23" s="29" t="n">
        <f aca="false">D8*Hypothèses!$B$13</f>
        <v>519750</v>
      </c>
      <c r="E23" s="29" t="n">
        <f aca="false">E8*Hypothèses!$B$13</f>
        <v>779625</v>
      </c>
      <c r="F23" s="29" t="n">
        <f aca="false">F8*Hypothèses!$B$13</f>
        <v>1039500</v>
      </c>
      <c r="G23" s="29" t="n">
        <f aca="false">G8*Hypothèses!$B$13</f>
        <v>1299375</v>
      </c>
    </row>
    <row r="24" customFormat="false" ht="15" hidden="false" customHeight="false" outlineLevel="0" collapsed="false">
      <c r="A24" s="5" t="s">
        <v>116</v>
      </c>
      <c r="B24" s="5" t="s">
        <v>11</v>
      </c>
      <c r="C24" s="33" t="n">
        <f aca="false">C23*Hypothèses!$B$22*Hypothèses!$B$32/1073741824</f>
        <v>0.0877349521033466</v>
      </c>
      <c r="D24" s="33" t="n">
        <f aca="false">D23*Hypothèses!$B$22*Hypothèses!$B$32/1073741824</f>
        <v>0.175469904206693</v>
      </c>
      <c r="E24" s="33" t="n">
        <f aca="false">E23*Hypothèses!$B$22*Hypothèses!$B$32/1073741824</f>
        <v>0.26320485631004</v>
      </c>
      <c r="F24" s="33" t="n">
        <f aca="false">F23*Hypothèses!$B$22*Hypothèses!$B$32/1073741824</f>
        <v>0.350939808413386</v>
      </c>
      <c r="G24" s="33" t="n">
        <f aca="false">G23*Hypothèses!$B$22*Hypothèses!$B$32/1073741824</f>
        <v>0.438674760516733</v>
      </c>
    </row>
    <row r="25" customFormat="false" ht="15" hidden="false" customHeight="false" outlineLevel="0" collapsed="false">
      <c r="A25" s="5" t="s">
        <v>117</v>
      </c>
      <c r="B25" s="5" t="s">
        <v>11</v>
      </c>
      <c r="C25" s="33" t="n">
        <f aca="false">C24*Hypothèses!$B$29</f>
        <v>0.0307072332361713</v>
      </c>
      <c r="D25" s="33" t="n">
        <f aca="false">D24*Hypothèses!$B$29</f>
        <v>0.0614144664723426</v>
      </c>
      <c r="E25" s="33" t="n">
        <f aca="false">E24*Hypothèses!$B$29</f>
        <v>0.0921216997085139</v>
      </c>
      <c r="F25" s="33" t="n">
        <f aca="false">F24*Hypothèses!$B$29</f>
        <v>0.122828932944685</v>
      </c>
      <c r="G25" s="33" t="n">
        <f aca="false">G24*Hypothèses!$B$29</f>
        <v>0.153536166180857</v>
      </c>
    </row>
    <row r="26" customFormat="false" ht="15" hidden="false" customHeight="false" outlineLevel="0" collapsed="false">
      <c r="A26" s="30" t="s">
        <v>118</v>
      </c>
      <c r="B26" s="5" t="s">
        <v>11</v>
      </c>
      <c r="C26" s="34" t="n">
        <f aca="false">C24+C25</f>
        <v>0.118442185339518</v>
      </c>
      <c r="D26" s="34" t="n">
        <f aca="false">D24+D25</f>
        <v>0.236884370679036</v>
      </c>
      <c r="E26" s="34" t="n">
        <f aca="false">E24+E25</f>
        <v>0.355326556018554</v>
      </c>
      <c r="F26" s="34" t="n">
        <f aca="false">F24+F25</f>
        <v>0.473768741358072</v>
      </c>
      <c r="G26" s="34" t="n">
        <f aca="false">G24+G25</f>
        <v>0.59221092669759</v>
      </c>
    </row>
    <row r="28" customFormat="false" ht="15" hidden="false" customHeight="false" outlineLevel="0" collapsed="false">
      <c r="A28" s="32" t="s">
        <v>64</v>
      </c>
      <c r="B28" s="32"/>
      <c r="C28" s="32"/>
      <c r="D28" s="32"/>
      <c r="E28" s="32"/>
      <c r="F28" s="32"/>
      <c r="G28" s="32"/>
    </row>
    <row r="29" customFormat="false" ht="15" hidden="false" customHeight="false" outlineLevel="0" collapsed="false">
      <c r="A29" s="5" t="s">
        <v>115</v>
      </c>
      <c r="B29" s="5" t="s">
        <v>7</v>
      </c>
      <c r="C29" s="29" t="n">
        <f aca="false">C8*Hypothèses!$B$14</f>
        <v>354375</v>
      </c>
      <c r="D29" s="29" t="n">
        <f aca="false">D8*Hypothèses!$B$14</f>
        <v>708750</v>
      </c>
      <c r="E29" s="29" t="n">
        <f aca="false">E8*Hypothèses!$B$14</f>
        <v>1063125</v>
      </c>
      <c r="F29" s="29" t="n">
        <f aca="false">F8*Hypothèses!$B$14</f>
        <v>1417500</v>
      </c>
      <c r="G29" s="29" t="n">
        <f aca="false">G8*Hypothèses!$B$14</f>
        <v>1771875</v>
      </c>
    </row>
    <row r="30" customFormat="false" ht="15" hidden="false" customHeight="false" outlineLevel="0" collapsed="false">
      <c r="A30" s="5" t="s">
        <v>116</v>
      </c>
      <c r="B30" s="5" t="s">
        <v>11</v>
      </c>
      <c r="C30" s="33" t="n">
        <f aca="false">C29*Hypothèses!$B$23*Hypothèses!$B$32/1073741824</f>
        <v>0.10313669918105</v>
      </c>
      <c r="D30" s="33" t="n">
        <f aca="false">D29*Hypothèses!$B$23*Hypothèses!$B$32/1073741824</f>
        <v>0.2062733983621</v>
      </c>
      <c r="E30" s="33" t="n">
        <f aca="false">E29*Hypothèses!$B$23*Hypothèses!$B$32/1073741824</f>
        <v>0.30941009754315</v>
      </c>
      <c r="F30" s="33" t="n">
        <f aca="false">F29*Hypothèses!$B$23*Hypothèses!$B$32/1073741824</f>
        <v>0.4125467967242</v>
      </c>
      <c r="G30" s="33" t="n">
        <f aca="false">G29*Hypothèses!$B$23*Hypothèses!$B$32/1073741824</f>
        <v>0.51568349590525</v>
      </c>
    </row>
    <row r="31" customFormat="false" ht="15" hidden="false" customHeight="false" outlineLevel="0" collapsed="false">
      <c r="A31" s="5" t="s">
        <v>117</v>
      </c>
      <c r="B31" s="5" t="s">
        <v>11</v>
      </c>
      <c r="C31" s="33" t="n">
        <f aca="false">C30*Hypothèses!$B$30</f>
        <v>0.04125467967242</v>
      </c>
      <c r="D31" s="33" t="n">
        <f aca="false">D30*Hypothèses!$B$30</f>
        <v>0.0825093593448401</v>
      </c>
      <c r="E31" s="33" t="n">
        <f aca="false">E30*Hypothèses!$B$30</f>
        <v>0.12376403901726</v>
      </c>
      <c r="F31" s="33" t="n">
        <f aca="false">F30*Hypothèses!$B$30</f>
        <v>0.16501871868968</v>
      </c>
      <c r="G31" s="33" t="n">
        <f aca="false">G30*Hypothèses!$B$30</f>
        <v>0.2062733983621</v>
      </c>
    </row>
    <row r="32" customFormat="false" ht="15" hidden="false" customHeight="false" outlineLevel="0" collapsed="false">
      <c r="A32" s="30" t="s">
        <v>118</v>
      </c>
      <c r="B32" s="5" t="s">
        <v>11</v>
      </c>
      <c r="C32" s="34" t="n">
        <f aca="false">C30+C31</f>
        <v>0.14439137885347</v>
      </c>
      <c r="D32" s="34" t="n">
        <f aca="false">D30+D31</f>
        <v>0.28878275770694</v>
      </c>
      <c r="E32" s="34" t="n">
        <f aca="false">E30+E31</f>
        <v>0.43317413656041</v>
      </c>
      <c r="F32" s="34" t="n">
        <f aca="false">F30+F31</f>
        <v>0.57756551541388</v>
      </c>
      <c r="G32" s="34" t="n">
        <f aca="false">G30+G31</f>
        <v>0.72195689426735</v>
      </c>
    </row>
    <row r="34" customFormat="false" ht="15" hidden="false" customHeight="false" outlineLevel="0" collapsed="false">
      <c r="A34" s="32" t="s">
        <v>66</v>
      </c>
      <c r="B34" s="32"/>
      <c r="C34" s="32"/>
      <c r="D34" s="32"/>
      <c r="E34" s="32"/>
      <c r="F34" s="32"/>
      <c r="G34" s="32"/>
    </row>
    <row r="35" customFormat="false" ht="15" hidden="false" customHeight="false" outlineLevel="0" collapsed="false">
      <c r="A35" s="5" t="s">
        <v>115</v>
      </c>
      <c r="B35" s="5" t="s">
        <v>7</v>
      </c>
      <c r="C35" s="29" t="n">
        <f aca="false">C8*Hypothèses!$B$15</f>
        <v>1417500</v>
      </c>
      <c r="D35" s="29" t="n">
        <f aca="false">D8*Hypothèses!$B$15</f>
        <v>2835000</v>
      </c>
      <c r="E35" s="29" t="n">
        <f aca="false">E8*Hypothèses!$B$15</f>
        <v>4252500</v>
      </c>
      <c r="F35" s="29" t="n">
        <f aca="false">F8*Hypothèses!$B$15</f>
        <v>5670000</v>
      </c>
      <c r="G35" s="29" t="n">
        <f aca="false">G8*Hypothèses!$B$15</f>
        <v>7087500</v>
      </c>
    </row>
    <row r="36" customFormat="false" ht="15" hidden="false" customHeight="false" outlineLevel="0" collapsed="false">
      <c r="A36" s="5" t="s">
        <v>116</v>
      </c>
      <c r="B36" s="5" t="s">
        <v>11</v>
      </c>
      <c r="C36" s="33" t="n">
        <f aca="false">C35*Hypothèses!$B$24*Hypothèses!$B$32/1073741824</f>
        <v>0.16501871868968</v>
      </c>
      <c r="D36" s="33" t="n">
        <f aca="false">D35*Hypothèses!$B$24*Hypothèses!$B$32/1073741824</f>
        <v>0.33003743737936</v>
      </c>
      <c r="E36" s="33" t="n">
        <f aca="false">E35*Hypothèses!$B$24*Hypothèses!$B$32/1073741824</f>
        <v>0.49505615606904</v>
      </c>
      <c r="F36" s="33" t="n">
        <f aca="false">F35*Hypothèses!$B$24*Hypothèses!$B$32/1073741824</f>
        <v>0.66007487475872</v>
      </c>
      <c r="G36" s="33" t="n">
        <f aca="false">G35*Hypothèses!$B$24*Hypothèses!$B$32/1073741824</f>
        <v>0.825093593448401</v>
      </c>
    </row>
    <row r="37" customFormat="false" ht="15" hidden="false" customHeight="false" outlineLevel="0" collapsed="false">
      <c r="A37" s="5" t="s">
        <v>117</v>
      </c>
      <c r="B37" s="5" t="s">
        <v>11</v>
      </c>
      <c r="C37" s="33" t="n">
        <f aca="false">C36*Hypothèses!$B$31</f>
        <v>0.148516846820712</v>
      </c>
      <c r="D37" s="33" t="n">
        <f aca="false">D36*Hypothèses!$B$31</f>
        <v>0.297033693641424</v>
      </c>
      <c r="E37" s="33" t="n">
        <f aca="false">E36*Hypothèses!$B$31</f>
        <v>0.445550540462136</v>
      </c>
      <c r="F37" s="33" t="n">
        <f aca="false">F36*Hypothèses!$B$31</f>
        <v>0.594067387282848</v>
      </c>
      <c r="G37" s="33" t="n">
        <f aca="false">G36*Hypothèses!$B$31</f>
        <v>0.74258423410356</v>
      </c>
    </row>
    <row r="38" customFormat="false" ht="15" hidden="false" customHeight="false" outlineLevel="0" collapsed="false">
      <c r="A38" s="30" t="s">
        <v>118</v>
      </c>
      <c r="B38" s="5" t="s">
        <v>11</v>
      </c>
      <c r="C38" s="34" t="n">
        <f aca="false">C36+C37</f>
        <v>0.313535565510392</v>
      </c>
      <c r="D38" s="34" t="n">
        <f aca="false">D36+D37</f>
        <v>0.627071131020784</v>
      </c>
      <c r="E38" s="34" t="n">
        <f aca="false">E36+E37</f>
        <v>0.940606696531177</v>
      </c>
      <c r="F38" s="34" t="n">
        <f aca="false">F36+F37</f>
        <v>1.25414226204157</v>
      </c>
      <c r="G38" s="34" t="n">
        <f aca="false">G36+G37</f>
        <v>1.56767782755196</v>
      </c>
    </row>
    <row r="40" customFormat="false" ht="15" hidden="false" customHeight="false" outlineLevel="0" collapsed="false">
      <c r="A40" s="32" t="s">
        <v>119</v>
      </c>
      <c r="B40" s="32"/>
      <c r="C40" s="32"/>
      <c r="D40" s="32"/>
      <c r="E40" s="32"/>
      <c r="F40" s="32"/>
      <c r="G40" s="32"/>
    </row>
    <row r="41" customFormat="false" ht="15" hidden="false" customHeight="false" outlineLevel="0" collapsed="false">
      <c r="A41" s="30" t="s">
        <v>8</v>
      </c>
      <c r="B41" s="5" t="s">
        <v>7</v>
      </c>
      <c r="C41" s="31" t="n">
        <f aca="false">C11+C17+C23+C29+C35</f>
        <v>2504250</v>
      </c>
      <c r="D41" s="31" t="n">
        <f aca="false">D11+D17+D23+D29+D35</f>
        <v>5008500</v>
      </c>
      <c r="E41" s="31" t="n">
        <f aca="false">E11+E17+E23+E29+E35</f>
        <v>7512750</v>
      </c>
      <c r="F41" s="31" t="n">
        <f aca="false">F11+F17+F23+F29+F35</f>
        <v>10017000</v>
      </c>
      <c r="G41" s="31" t="n">
        <f aca="false">G11+G17+G23+G29+G35</f>
        <v>12521250</v>
      </c>
    </row>
    <row r="42" customFormat="false" ht="15" hidden="false" customHeight="false" outlineLevel="0" collapsed="false">
      <c r="A42" s="5" t="s">
        <v>120</v>
      </c>
      <c r="B42" s="5" t="s">
        <v>11</v>
      </c>
      <c r="C42" s="33" t="n">
        <f aca="false">Hypothèses!$B$33</f>
        <v>0.5</v>
      </c>
      <c r="D42" s="33" t="n">
        <f aca="false">Hypothèses!$B$33</f>
        <v>0.5</v>
      </c>
      <c r="E42" s="33" t="n">
        <f aca="false">Hypothèses!$B$33</f>
        <v>0.5</v>
      </c>
      <c r="F42" s="33" t="n">
        <f aca="false">Hypothèses!$B$33</f>
        <v>0.5</v>
      </c>
      <c r="G42" s="33" t="n">
        <f aca="false">Hypothèses!$B$33</f>
        <v>0.5</v>
      </c>
    </row>
    <row r="43" customFormat="false" ht="15" hidden="false" customHeight="false" outlineLevel="0" collapsed="false">
      <c r="A43" s="35" t="s">
        <v>121</v>
      </c>
      <c r="B43" s="36" t="s">
        <v>11</v>
      </c>
      <c r="C43" s="37" t="n">
        <f aca="false">C14+C20+C26+C32+C38+C42</f>
        <v>1.29969446233008</v>
      </c>
      <c r="D43" s="37" t="n">
        <f aca="false">D14+D20+D26+D32+D38+D42</f>
        <v>2.09938892466016</v>
      </c>
      <c r="E43" s="37" t="n">
        <f aca="false">E14+E20+E26+E32+E38+E42</f>
        <v>2.89908338699024</v>
      </c>
      <c r="F43" s="37" t="n">
        <f aca="false">F14+F20+F26+F32+F38+F42</f>
        <v>3.69877784932032</v>
      </c>
      <c r="G43" s="37" t="n">
        <f aca="false">G14+G20+G26+G32+G38+G42</f>
        <v>4.4984723116504</v>
      </c>
    </row>
    <row r="44" customFormat="false" ht="15" hidden="false" customHeight="false" outlineLevel="0" collapsed="false">
      <c r="A44" s="30" t="s">
        <v>12</v>
      </c>
      <c r="B44" s="5" t="s">
        <v>11</v>
      </c>
      <c r="C44" s="38" t="n">
        <f aca="false">(C43+Hypothèses!$B$45)/Hypothèses!$B$46</f>
        <v>30.4281349461858</v>
      </c>
      <c r="D44" s="38" t="n">
        <f aca="false">(D43+Hypothèses!$B$45)/Hypothèses!$B$46</f>
        <v>31.5705556066574</v>
      </c>
      <c r="E44" s="38" t="n">
        <f aca="false">(E43+Hypothèses!$B$45)/Hypothèses!$B$46</f>
        <v>32.7129762671289</v>
      </c>
      <c r="F44" s="38" t="n">
        <f aca="false">(F43+Hypothèses!$B$45)/Hypothèses!$B$46</f>
        <v>33.8553969276005</v>
      </c>
      <c r="G44" s="38" t="n">
        <f aca="false">(G43+Hypothèses!$B$45)/Hypothèses!$B$46</f>
        <v>34.997817588072</v>
      </c>
    </row>
    <row r="45" customFormat="false" ht="15" hidden="false" customHeight="false" outlineLevel="0" collapsed="false">
      <c r="A45" s="5" t="s">
        <v>122</v>
      </c>
      <c r="B45" s="5" t="s">
        <v>11</v>
      </c>
      <c r="C45" s="28" t="n">
        <f aca="false">C44*Hypothèses!$B$44</f>
        <v>91.2844048385575</v>
      </c>
      <c r="D45" s="28" t="n">
        <f aca="false">D44*Hypothèses!$B$44</f>
        <v>94.7116668199721</v>
      </c>
      <c r="E45" s="28" t="n">
        <f aca="false">E44*Hypothèses!$B$44</f>
        <v>98.1389288013868</v>
      </c>
      <c r="F45" s="28" t="n">
        <f aca="false">F44*Hypothèses!$B$44</f>
        <v>101.566190782801</v>
      </c>
      <c r="G45" s="28" t="n">
        <f aca="false">G44*Hypothèses!$B$44</f>
        <v>104.993452764216</v>
      </c>
    </row>
    <row r="46" customFormat="false" ht="15" hidden="false" customHeight="false" outlineLevel="0" collapsed="false">
      <c r="A46" s="5" t="s">
        <v>123</v>
      </c>
      <c r="B46" s="5" t="s">
        <v>11</v>
      </c>
      <c r="C46" s="39" t="n">
        <f aca="false">C43*Hypothèses!$B$47</f>
        <v>3.2492361558252</v>
      </c>
      <c r="D46" s="39" t="n">
        <f aca="false">D43*Hypothèses!$B$47</f>
        <v>5.2484723116504</v>
      </c>
      <c r="E46" s="39" t="n">
        <f aca="false">E43*Hypothèses!$B$47</f>
        <v>7.2477084674756</v>
      </c>
      <c r="F46" s="39" t="n">
        <f aca="false">F43*Hypothèses!$B$47</f>
        <v>9.24694462330081</v>
      </c>
      <c r="G46" s="39" t="n">
        <f aca="false">G43*Hypothèses!$B$47</f>
        <v>11.246180779126</v>
      </c>
    </row>
    <row r="47" customFormat="false" ht="15" hidden="false" customHeight="false" outlineLevel="0" collapsed="false">
      <c r="A47" s="5" t="s">
        <v>124</v>
      </c>
      <c r="B47" s="5" t="s">
        <v>11</v>
      </c>
      <c r="C47" s="33" t="n">
        <f aca="false">MAX(C14,C20,C26,C32,C38)</f>
        <v>0.313535565510392</v>
      </c>
      <c r="D47" s="33" t="n">
        <f aca="false">MAX(D14,D20,D26,D32,D38)</f>
        <v>0.627071131020784</v>
      </c>
      <c r="E47" s="33" t="n">
        <f aca="false">MAX(E14,E20,E26,E32,E38)</f>
        <v>0.940606696531177</v>
      </c>
      <c r="F47" s="33" t="n">
        <f aca="false">MAX(F14,F20,F26,F32,F38)</f>
        <v>1.25414226204157</v>
      </c>
      <c r="G47" s="33" t="n">
        <f aca="false">MAX(G14,G20,G26,G32,G38)</f>
        <v>1.56767782755196</v>
      </c>
    </row>
    <row r="48" customFormat="false" ht="15" hidden="false" customHeight="false" outlineLevel="0" collapsed="false">
      <c r="A48" s="5" t="s">
        <v>125</v>
      </c>
      <c r="B48" s="5"/>
      <c r="C48" s="40" t="str">
        <f aca="false">IF(OR(C47&gt;50,MAX(C11,C17,C23,C29,C35)&gt;100000000),"Oui","Non")</f>
        <v>Non</v>
      </c>
      <c r="D48" s="40" t="str">
        <f aca="false">IF(OR(D47&gt;50,MAX(D11,D17,D23,D29,D35)&gt;100000000),"Oui","Non")</f>
        <v>Non</v>
      </c>
      <c r="E48" s="40" t="str">
        <f aca="false">IF(OR(E47&gt;50,MAX(E11,E17,E23,E29,E35)&gt;100000000),"Oui","Non")</f>
        <v>Non</v>
      </c>
      <c r="F48" s="40" t="str">
        <f aca="false">IF(OR(F47&gt;50,MAX(F11,F17,F23,F29,F35)&gt;100000000),"Oui","Non")</f>
        <v>Non</v>
      </c>
      <c r="G48" s="40" t="str">
        <f aca="false">IF(OR(G47&gt;50,MAX(G11,G17,G23,G29,G35)&gt;100000000),"Oui","Non")</f>
        <v>Non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2"/>
    <col collapsed="false" customWidth="true" hidden="false" outlineLevel="0" max="7" min="3" style="0" width="15"/>
  </cols>
  <sheetData>
    <row r="1" customFormat="false" ht="17.3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2" t="s">
        <v>127</v>
      </c>
    </row>
    <row r="4" customFormat="false" ht="15" hidden="false" customHeight="false" outlineLevel="0" collapsed="false">
      <c r="A4" s="3" t="s">
        <v>111</v>
      </c>
      <c r="B4" s="4" t="s">
        <v>3</v>
      </c>
      <c r="C4" s="4" t="str">
        <f aca="false">TEXT(Hypothèses!$B$9+0,"0")</f>
        <v>2027</v>
      </c>
      <c r="D4" s="4" t="str">
        <f aca="false">TEXT(Hypothèses!$B$9+1,"0")</f>
        <v>2028</v>
      </c>
      <c r="E4" s="4" t="str">
        <f aca="false">TEXT(Hypothèses!$B$9+2,"0")</f>
        <v>2029</v>
      </c>
      <c r="F4" s="4" t="str">
        <f aca="false">TEXT(Hypothèses!$B$9+3,"0")</f>
        <v>2030</v>
      </c>
      <c r="G4" s="4" t="str">
        <f aca="false">TEXT(Hypothèses!$B$9+4,"0")</f>
        <v>2031</v>
      </c>
    </row>
    <row r="5" customFormat="false" ht="15" hidden="false" customHeight="false" outlineLevel="0" collapsed="false">
      <c r="A5" s="5" t="s">
        <v>112</v>
      </c>
      <c r="B5" s="5"/>
      <c r="C5" s="41" t="n">
        <f aca="false">'Volumétrie BDD'!C5</f>
        <v>1</v>
      </c>
      <c r="D5" s="41" t="n">
        <f aca="false">'Volumétrie BDD'!D5</f>
        <v>2</v>
      </c>
      <c r="E5" s="41" t="n">
        <f aca="false">'Volumétrie BDD'!E5</f>
        <v>3</v>
      </c>
      <c r="F5" s="41" t="n">
        <f aca="false">'Volumétrie BDD'!F5</f>
        <v>4</v>
      </c>
      <c r="G5" s="41" t="n">
        <f aca="false">'Volumétrie BDD'!G5</f>
        <v>5</v>
      </c>
    </row>
    <row r="6" customFormat="false" ht="15" hidden="false" customHeight="false" outlineLevel="0" collapsed="false">
      <c r="A6" s="5" t="s">
        <v>4</v>
      </c>
      <c r="B6" s="5" t="s">
        <v>5</v>
      </c>
      <c r="C6" s="42" t="n">
        <f aca="false">'Volumétrie BDD'!C6</f>
        <v>225000</v>
      </c>
      <c r="D6" s="42" t="n">
        <f aca="false">'Volumétrie BDD'!D6</f>
        <v>225000</v>
      </c>
      <c r="E6" s="42" t="n">
        <f aca="false">'Volumétrie BDD'!E6</f>
        <v>225000</v>
      </c>
      <c r="F6" s="42" t="n">
        <f aca="false">'Volumétrie BDD'!F6</f>
        <v>225000</v>
      </c>
      <c r="G6" s="42" t="n">
        <f aca="false">'Volumétrie BDD'!G6</f>
        <v>225000</v>
      </c>
    </row>
    <row r="7" customFormat="false" ht="15" hidden="false" customHeight="false" outlineLevel="0" collapsed="false">
      <c r="A7" s="5" t="s">
        <v>128</v>
      </c>
      <c r="B7" s="5" t="s">
        <v>11</v>
      </c>
      <c r="C7" s="29" t="n">
        <f aca="false">C6*Hypothèses!$B$10*Hypothèses!$B$37/1024</f>
        <v>346.0693359375</v>
      </c>
      <c r="D7" s="29" t="n">
        <f aca="false">D6*Hypothèses!$B$10*Hypothèses!$B$37/1024</f>
        <v>346.0693359375</v>
      </c>
      <c r="E7" s="29" t="n">
        <f aca="false">E6*Hypothèses!$B$10*Hypothèses!$B$37/1024</f>
        <v>346.0693359375</v>
      </c>
      <c r="F7" s="29" t="n">
        <f aca="false">F6*Hypothèses!$B$10*Hypothèses!$B$37/1024</f>
        <v>346.0693359375</v>
      </c>
      <c r="G7" s="29" t="n">
        <f aca="false">G6*Hypothèses!$B$10*Hypothèses!$B$37/1024</f>
        <v>346.0693359375</v>
      </c>
    </row>
    <row r="8" customFormat="false" ht="15" hidden="false" customHeight="false" outlineLevel="0" collapsed="false">
      <c r="A8" s="5" t="s">
        <v>129</v>
      </c>
      <c r="B8" s="5" t="s">
        <v>11</v>
      </c>
      <c r="C8" s="29" t="n">
        <f aca="false">C6*Hypothèses!$B$10*Hypothèses!$B$13*Hypothèses!$B$38/1024</f>
        <v>304.541015625</v>
      </c>
      <c r="D8" s="29" t="n">
        <f aca="false">D6*Hypothèses!$B$10*Hypothèses!$B$13*Hypothèses!$B$38/1024</f>
        <v>304.541015625</v>
      </c>
      <c r="E8" s="29" t="n">
        <f aca="false">E6*Hypothèses!$B$10*Hypothèses!$B$13*Hypothèses!$B$38/1024</f>
        <v>304.541015625</v>
      </c>
      <c r="F8" s="29" t="n">
        <f aca="false">F6*Hypothèses!$B$10*Hypothèses!$B$13*Hypothèses!$B$38/1024</f>
        <v>304.541015625</v>
      </c>
      <c r="G8" s="29" t="n">
        <f aca="false">G6*Hypothèses!$B$10*Hypothèses!$B$13*Hypothèses!$B$38/1024</f>
        <v>304.541015625</v>
      </c>
    </row>
    <row r="9" customFormat="false" ht="15" hidden="false" customHeight="false" outlineLevel="0" collapsed="false">
      <c r="A9" s="5" t="s">
        <v>130</v>
      </c>
      <c r="B9" s="5" t="s">
        <v>11</v>
      </c>
      <c r="C9" s="29" t="n">
        <f aca="false">C6*Hypothèses!$B$10*Hypothèses!$B$14*Hypothèses!$B$39/1024</f>
        <v>51.910400390625</v>
      </c>
      <c r="D9" s="29" t="n">
        <f aca="false">D6*Hypothèses!$B$10*Hypothèses!$B$14*Hypothèses!$B$39/1024</f>
        <v>51.910400390625</v>
      </c>
      <c r="E9" s="29" t="n">
        <f aca="false">E6*Hypothèses!$B$10*Hypothèses!$B$14*Hypothèses!$B$39/1024</f>
        <v>51.910400390625</v>
      </c>
      <c r="F9" s="29" t="n">
        <f aca="false">F6*Hypothèses!$B$10*Hypothèses!$B$14*Hypothèses!$B$39/1024</f>
        <v>51.910400390625</v>
      </c>
      <c r="G9" s="29" t="n">
        <f aca="false">G6*Hypothèses!$B$10*Hypothèses!$B$14*Hypothèses!$B$39/1024</f>
        <v>51.910400390625</v>
      </c>
    </row>
    <row r="10" customFormat="false" ht="15" hidden="false" customHeight="false" outlineLevel="0" collapsed="false">
      <c r="A10" s="30" t="s">
        <v>131</v>
      </c>
      <c r="B10" s="5" t="s">
        <v>11</v>
      </c>
      <c r="C10" s="31" t="n">
        <f aca="false">C7+C8+C9</f>
        <v>702.520751953125</v>
      </c>
      <c r="D10" s="31" t="n">
        <f aca="false">D7+D8+D9</f>
        <v>702.520751953125</v>
      </c>
      <c r="E10" s="31" t="n">
        <f aca="false">E7+E8+E9</f>
        <v>702.520751953125</v>
      </c>
      <c r="F10" s="31" t="n">
        <f aca="false">F7+F8+F9</f>
        <v>702.520751953125</v>
      </c>
      <c r="G10" s="31" t="n">
        <f aca="false">G7+G8+G9</f>
        <v>702.520751953125</v>
      </c>
    </row>
    <row r="11" customFormat="false" ht="15" hidden="false" customHeight="false" outlineLevel="0" collapsed="false">
      <c r="A11" s="5" t="s">
        <v>132</v>
      </c>
      <c r="B11" s="5" t="s">
        <v>5</v>
      </c>
      <c r="C11" s="29" t="n">
        <f aca="false">C6*Hypothèses!$B$10*(1+Hypothèses!$B$13+Hypothèses!$B$14)</f>
        <v>850500</v>
      </c>
      <c r="D11" s="29" t="n">
        <f aca="false">D6*Hypothèses!$B$10*(1+Hypothèses!$B$13+Hypothèses!$B$14)</f>
        <v>850500</v>
      </c>
      <c r="E11" s="29" t="n">
        <f aca="false">E6*Hypothèses!$B$10*(1+Hypothèses!$B$13+Hypothèses!$B$14)</f>
        <v>850500</v>
      </c>
      <c r="F11" s="29" t="n">
        <f aca="false">F6*Hypothèses!$B$10*(1+Hypothèses!$B$13+Hypothèses!$B$14)</f>
        <v>850500</v>
      </c>
      <c r="G11" s="29" t="n">
        <f aca="false">G6*Hypothèses!$B$10*(1+Hypothèses!$B$13+Hypothèses!$B$14)</f>
        <v>850500</v>
      </c>
    </row>
    <row r="12" customFormat="false" ht="15" hidden="false" customHeight="false" outlineLevel="0" collapsed="false">
      <c r="A12" s="30" t="s">
        <v>133</v>
      </c>
      <c r="B12" s="5" t="s">
        <v>5</v>
      </c>
      <c r="C12" s="31" t="n">
        <f aca="false">SUMPRODUCT(($C$5:$C$5&gt;C$5-Hypothèses!$B$40)*$C$11:C11)</f>
        <v>850500</v>
      </c>
      <c r="D12" s="31" t="n">
        <f aca="false">SUMPRODUCT(($C$5:$D$5&gt;D$5-Hypothèses!$B$40)*$C$11:D11)</f>
        <v>1701000</v>
      </c>
      <c r="E12" s="31" t="n">
        <f aca="false">SUMPRODUCT(($C$5:$E$5&gt;E$5-Hypothèses!$B$40)*$C$11:E11)</f>
        <v>2551500</v>
      </c>
      <c r="F12" s="31" t="n">
        <f aca="false">SUMPRODUCT(($C$5:$F$5&gt;F$5-Hypothèses!$B$40)*$C$11:F11)</f>
        <v>3402000</v>
      </c>
      <c r="G12" s="31" t="n">
        <f aca="false">SUMPRODUCT(($C$5:$G$5&gt;G$5-Hypothèses!$B$40)*$C$11:G11)</f>
        <v>4252500</v>
      </c>
    </row>
    <row r="13" customFormat="false" ht="15" hidden="false" customHeight="false" outlineLevel="0" collapsed="false">
      <c r="A13" s="30" t="s">
        <v>134</v>
      </c>
      <c r="B13" s="5" t="s">
        <v>18</v>
      </c>
      <c r="C13" s="34" t="n">
        <f aca="false">SUMPRODUCT(($C$5:$C$5&gt;C$5-Hypothèses!$B$40)*$C$10:C10)/1024</f>
        <v>0.686055421829224</v>
      </c>
      <c r="D13" s="34" t="n">
        <f aca="false">SUMPRODUCT(($C$5:$D$5&gt;D$5-Hypothèses!$B$40)*$C$10:D10)/1024</f>
        <v>1.37211084365845</v>
      </c>
      <c r="E13" s="34" t="n">
        <f aca="false">SUMPRODUCT(($C$5:$E$5&gt;E$5-Hypothèses!$B$40)*$C$10:E10)/1024</f>
        <v>2.05816626548767</v>
      </c>
      <c r="F13" s="34" t="n">
        <f aca="false">SUMPRODUCT(($C$5:$F$5&gt;F$5-Hypothèses!$B$40)*$C$10:F10)/1024</f>
        <v>2.74422168731689</v>
      </c>
      <c r="G13" s="34" t="n">
        <f aca="false">SUMPRODUCT(($C$5:$G$5&gt;G$5-Hypothèses!$B$40)*$C$10:G10)/1024</f>
        <v>3.43027710914612</v>
      </c>
    </row>
    <row r="14" customFormat="false" ht="15" hidden="false" customHeight="false" outlineLevel="0" collapsed="false">
      <c r="A14" s="35" t="s">
        <v>135</v>
      </c>
      <c r="B14" s="36" t="s">
        <v>18</v>
      </c>
      <c r="C14" s="37" t="n">
        <f aca="false">C13*Hypothèses!$B$41</f>
        <v>1.37211084365845</v>
      </c>
      <c r="D14" s="37" t="n">
        <f aca="false">D13*Hypothèses!$B$41</f>
        <v>2.74422168731689</v>
      </c>
      <c r="E14" s="37" t="n">
        <f aca="false">E13*Hypothèses!$B$41</f>
        <v>4.11633253097534</v>
      </c>
      <c r="F14" s="37" t="n">
        <f aca="false">F13*Hypothèses!$B$41</f>
        <v>5.48844337463379</v>
      </c>
      <c r="G14" s="37" t="n">
        <f aca="false">G13*Hypothèses!$B$41</f>
        <v>6.86055421829224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2026-10-25T21:11:14Z</dcterms:created>
  <dc:creator>openpyxl</dc:creator>
  <dc:description/>
  <dc:language>en-US</dc:language>
  <cp:lastModifiedBy/>
  <dcterms:modified xsi:type="dcterms:W3CDTF">2026-10-25T22:11:16Z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