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Row size calc" sheetId="3" state="visible" r:id="rId5"/>
    <sheet name="Index calc" sheetId="4" state="visible" r:id="rId6"/>
    <sheet name="Table analysis" sheetId="5" state="visible" r:id="rId7"/>
    <sheet name="5-year projection" sheetId="6" state="visible" r:id="rId8"/>
    <sheet name="Charts" sheetId="7" state="visible" r:id="rId9"/>
    <sheet name="Capacity Planning" sheetId="8" state="visible" r:id="rId10"/>
    <sheet name="Indexes &amp; SQL" sheetId="9" state="visible" r:id="rId11"/>
    <sheet name="Collection queries" sheetId="10" state="visible" r:id="rId12"/>
    <sheet name="Roadmap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<sst xmlns="http://schemas.openxmlformats.org/spreadsheetml/2006/main" count="1668" uniqueCount="678">
  <si>
    <t xml:space="preserve">DataCapture – PostgreSQL volume projection 2027–2031 (225,000 files in 2027, +10%/year, 2 MB PDF)</t>
  </si>
  <si>
    <t xml:space="preserve">PostgreSQL 15.10 database “dcdb” – DBA audit – October 2026 – v3</t>
  </si>
  <si>
    <t xml:space="preserve">Object</t>
  </si>
  <si>
    <t xml:space="preserve">Project the volume of the DataCapture database and of COS object storage over 2027–2031: 225,000 PDF files in 2027, 10% annual growth, 2 MB average PDF size. Size disk, backup and restore.</t>
  </si>
  <si>
    <t xml:space="preserve">PDFs and extraction JSON files are stored in COS (columns link / output_file_path): PostgreSQL only holds metadata.</t>
  </si>
  <si>
    <t xml:space="preserve">The norm table is excluded from the scope.</t>
  </si>
  <si>
    <t xml:space="preserve">Row size calculation method (“Row size calc” sheet)</t>
  </si>
  <si>
    <t xml:space="preserve">1. Tuple header: 23 bytes + NULL bitmap (1 bit per column, only if at least one column is NULL), rounded up to a multiple of 8.</t>
  </si>
  <si>
    <t xml:space="preserve">2. Each column, in DDL order: alignment padding (bigint/timestamp = 8, integer/enum = 4, long varlena = 4) then stored size. A NULL column takes no bytes.</t>
  </si>
  <si>
    <t xml:space="preserve">3. Text (varchar, text, domains): 1 header byte + number of characters if ≤ 126 bytes (short varlena, no alignment); otherwise 4 header bytes + data, aligned on 4.</t>
  </si>
  <si>
    <t xml:space="preserve">4. Tuple size = end of the last column rounded up to a multiple of 8 (MAXALIGN). Add 4 bytes of line pointer (ItemId).</t>
  </si>
  <si>
    <t xml:space="preserve">5. Rows per page = INT((8,192 − 24) / (tuple + 4)). Effective row size = 8,192 / rows per page (includes the space lost at the end of the page).</t>
  </si>
  <si>
    <t xml:space="preserve">Conventions</t>
  </si>
  <si>
    <t xml:space="preserve">Blue on yellow = editable assumption (typical contents, number of characters, NULL). Black = formula. Green = link to another sheet. Light green = key result.</t>
  </si>
  <si>
    <t xml:space="preserve">Making the model reliable</t>
  </si>
  <si>
    <t xml:space="preserve">Run the queries of the “Collection queries” sheet, enter the measurements in the yellow columns of “Table analysis” and adjust text lengths in “Row size calc” (SELECT avg(octet_length(column)) FROM table).</t>
  </si>
  <si>
    <t xml:space="preserve">Model assumptions</t>
  </si>
  <si>
    <t xml:space="preserve">Blue cells on yellow: editable. All projections depend on them.</t>
  </si>
  <si>
    <t xml:space="preserve">Parameter</t>
  </si>
  <si>
    <t xml:space="preserve">Value</t>
  </si>
  <si>
    <t xml:space="preserve">Unit</t>
  </si>
  <si>
    <t xml:space="preserve">Source / comment</t>
  </si>
  <si>
    <t xml:space="preserve">Business volume</t>
  </si>
  <si>
    <t xml:space="preserve">PDF files received – year 1 (2027)</t>
  </si>
  <si>
    <t xml:space="preserve">PDF/year</t>
  </si>
  <si>
    <t xml:space="preserve">Provided</t>
  </si>
  <si>
    <t xml:space="preserve">Annual growth of the flow</t>
  </si>
  <si>
    <t xml:space="preserve">%/year</t>
  </si>
  <si>
    <t xml:space="preserve">Agreed assumption: +10% per year from 2028</t>
  </si>
  <si>
    <t xml:space="preserve">Projection horizon</t>
  </si>
  <si>
    <t xml:space="preserve">years</t>
  </si>
  <si>
    <t xml:space="preserve">Reference year (current state)</t>
  </si>
  <si>
    <t xml:space="preserve">year</t>
  </si>
  <si>
    <t xml:space="preserve">Audit date</t>
  </si>
  <si>
    <t xml:space="preserve">Average PDF size</t>
  </si>
  <si>
    <t xml:space="preserve">MB</t>
  </si>
  <si>
    <t xml:space="preserve">Agreed assumption (to be confirmed: SELECT avg(size)/1048576 FROM metadata;)</t>
  </si>
  <si>
    <t xml:space="preserve">Average size of an extraction JSON (COS)</t>
  </si>
  <si>
    <t xml:space="preserve">KB</t>
  </si>
  <si>
    <t xml:space="preserve">ASSUMPTION</t>
  </si>
  <si>
    <t xml:space="preserve">PostgreSQL database</t>
  </si>
  <si>
    <t xml:space="preserve">Current database size</t>
  </si>
  <si>
    <t xml:space="preserve">Share of indexes in the current size</t>
  </si>
  <si>
    <t xml:space="preserve">%</t>
  </si>
  <si>
    <t xml:space="preserve">ASSUMPTION – to be measured (query Q1)</t>
  </si>
  <si>
    <t xml:space="preserve">submission_status_history rows per file</t>
  </si>
  <si>
    <t xml:space="preserve">rows</t>
  </si>
  <si>
    <t xml:space="preserve">ASSUMPTION – status transitions per file (measure: Q11)</t>
  </si>
  <si>
    <t xml:space="preserve">Bloat factor (MVCC, partly filled pages)</t>
  </si>
  <si>
    <t xml:space="preserve">x</t>
  </si>
  <si>
    <t xml:space="preserve">Repeated status updates on submissions; 1.2 = 20% dead space at steady state</t>
  </si>
  <si>
    <t xml:space="preserve">PostgreSQL page size</t>
  </si>
  <si>
    <t xml:space="preserve">bytes</t>
  </si>
  <si>
    <t xml:space="preserve">Standard BLCKSZ</t>
  </si>
  <si>
    <t xml:space="preserve">Heap page header</t>
  </si>
  <si>
    <t xml:space="preserve">PageHeaderData</t>
  </si>
  <si>
    <t xml:space="preserve">B-tree page special area</t>
  </si>
  <si>
    <t xml:space="preserve">BTPageOpaqueData</t>
  </si>
  <si>
    <t xml:space="preserve">B-tree index fillfactor</t>
  </si>
  <si>
    <t xml:space="preserve">PostgreSQL default</t>
  </si>
  <si>
    <t xml:space="preserve">Spring Batch</t>
  </si>
  <si>
    <t xml:space="preserve">Spring Batch job executions per day</t>
  </si>
  <si>
    <t xml:space="preserve">exec./day</t>
  </si>
  <si>
    <t xml:space="preserve">ASSUMPTION – 2 jobs every 15 min (frequency to be defined, minutes of 28/10/2026)</t>
  </si>
  <si>
    <t xml:space="preserve">Parameters per execution</t>
  </si>
  <si>
    <t xml:space="preserve">ASSUMPTION – e.g. run.id + execution date</t>
  </si>
  <si>
    <t xml:space="preserve">Steps per execution</t>
  </si>
  <si>
    <t xml:space="preserve">ASSUMPTION – one chunk step per job</t>
  </si>
  <si>
    <t xml:space="preserve">Recommended Spring Batch retention</t>
  </si>
  <si>
    <t xml:space="preserve">days</t>
  </si>
  <si>
    <t xml:space="preserve">Audit recommendation</t>
  </si>
  <si>
    <t xml:space="preserve">Backup / restore</t>
  </si>
  <si>
    <t xml:space="preserve">Backup compression ratio</t>
  </si>
  <si>
    <t xml:space="preserve">ASSUMPTION – compressed pgBackRest/pg_dump</t>
  </si>
  <si>
    <t xml:space="preserve">Full backups kept</t>
  </si>
  <si>
    <t xml:space="preserve">copies</t>
  </si>
  <si>
    <t xml:space="preserve">ASSUMPTION – 1 full/day for 14 days</t>
  </si>
  <si>
    <t xml:space="preserve">WAL archived per day</t>
  </si>
  <si>
    <t xml:space="preserve">% of DB</t>
  </si>
  <si>
    <t xml:space="preserve">WAL retention (PITR)</t>
  </si>
  <si>
    <t xml:space="preserve">Aligned with fulls</t>
  </si>
  <si>
    <t xml:space="preserve">Restore throughput</t>
  </si>
  <si>
    <t xml:space="preserve">MB/s</t>
  </si>
  <si>
    <t xml:space="preserve">ASSUMPTION – SSD / 1 Gb/s network</t>
  </si>
  <si>
    <t xml:space="preserve">Capacity planning</t>
  </si>
  <si>
    <t xml:space="preserve">Disk margin (multiplier)</t>
  </si>
  <si>
    <t xml:space="preserve">VACUUM FULL / pg_repack / REINDEX require a copy of the table</t>
  </si>
  <si>
    <t xml:space="preserve">pg_wal reserve</t>
  </si>
  <si>
    <t xml:space="preserve">GB</t>
  </si>
  <si>
    <t xml:space="preserve">2 × recommended max_wal_size (4 GB)</t>
  </si>
  <si>
    <t xml:space="preserve">Alert threshold (warning)</t>
  </si>
  <si>
    <t xml:space="preserve">% of disk</t>
  </si>
  <si>
    <t xml:space="preserve">Operations standard</t>
  </si>
  <si>
    <t xml:space="preserve">Critical threshold</t>
  </si>
  <si>
    <t xml:space="preserve">COS storage margin</t>
  </si>
  <si>
    <t xml:space="preserve">Roadmap costing</t>
  </si>
  <si>
    <t xml:space="preserve">Average daily rate (DBA / developer)</t>
  </si>
  <si>
    <t xml:space="preserve">€/j.h</t>
  </si>
  <si>
    <t xml:space="preserve">Intermediate results (calculated)</t>
  </si>
  <si>
    <t xml:space="preserve">Data bytes per file (5 business tables)</t>
  </si>
  <si>
    <t xml:space="preserve">Weighted sum from the Table analysis sheet</t>
  </si>
  <si>
    <t xml:space="preserve">Index bytes per file (existing indexes)</t>
  </si>
  <si>
    <t xml:space="preserve">Bytes per Spring Batch execution (data + indexes)</t>
  </si>
  <si>
    <t xml:space="preserve">Detailed row size calculation – table by table, column by column</t>
  </si>
  <si>
    <t xml:space="preserve">PostgreSQL rules: 23 B header + NULL bitmap (if any NULL) rounded to 8 · NULL column = 0 B · short varlena (≤ 126 B of data) = 1 B header, no alignment · long varlena = 4 B header, aligned on 4 · bigint/timestamp aligned on 8 · integer/ENUM aligned on 4 · tuple rounded to 8 · + 4 B line pointer.</t>
  </si>
  <si>
    <t xml:space="preserve">Table submissions</t>
  </si>
  <si>
    <t xml:space="preserve">Table</t>
  </si>
  <si>
    <t xml:space="preserve">N°</t>
  </si>
  <si>
    <t xml:space="preserve">Column</t>
  </si>
  <si>
    <t xml:space="preserve">PostgreSQL type</t>
  </si>
  <si>
    <t xml:space="preserve">Storage</t>
  </si>
  <si>
    <t xml:space="preserve">Type alignment (B)</t>
  </si>
  <si>
    <t xml:space="preserve">Fixed length (B)</t>
  </si>
  <si>
    <t xml:space="preserve">Typical content (assumption)</t>
  </si>
  <si>
    <t xml:space="preserve">No. of characters</t>
  </si>
  <si>
    <t xml:space="preserve">NULL?</t>
  </si>
  <si>
    <t xml:space="preserve">Effective alignment (B)</t>
  </si>
  <si>
    <t xml:space="preserve">Start offset (B)</t>
  </si>
  <si>
    <t xml:space="preserve">Padding (B)</t>
  </si>
  <si>
    <t xml:space="preserve">Stored size (B) / end offset</t>
  </si>
  <si>
    <t xml:space="preserve">submissions</t>
  </si>
  <si>
    <t xml:space="preserve">Step 1 – tuple header</t>
  </si>
  <si>
    <t xml:space="preserve">12 columns</t>
  </si>
  <si>
    <t xml:space="preserve">23 B + NULL bitmap (ROUNDUP(no. of columns/8)) if at least one column is NULL, rounded up to a multiple of 8</t>
  </si>
  <si>
    <t xml:space="preserve">id</t>
  </si>
  <si>
    <t xml:space="preserve">bigint</t>
  </si>
  <si>
    <t xml:space="preserve">fixed</t>
  </si>
  <si>
    <t xml:space="preserve">Identifier from submissions_sequence</t>
  </si>
  <si>
    <t xml:space="preserve">—</t>
  </si>
  <si>
    <t xml:space="preserve">N</t>
  </si>
  <si>
    <t xml:space="preserve">uuid</t>
  </si>
  <si>
    <t xml:space="preserve">varchar(40)</t>
  </si>
  <si>
    <t xml:space="preserve">varlena</t>
  </si>
  <si>
    <t xml:space="preserve">UUID v4 in text format</t>
  </si>
  <si>
    <t xml:space="preserve">link</t>
  </si>
  <si>
    <t xml:space="preserve">text</t>
  </si>
  <si>
    <t xml:space="preserve">URL of the PDF object in COS</t>
  </si>
  <si>
    <t xml:space="preserve">status</t>
  </si>
  <si>
    <t xml:space="preserve">submission_status (ENUM)</t>
  </si>
  <si>
    <t xml:space="preserve">ENUM = 4-byte OID</t>
  </si>
  <si>
    <t xml:space="preserve">upload_ts</t>
  </si>
  <si>
    <t xml:space="preserve">timestamp(3)</t>
  </si>
  <si>
    <t xml:space="preserve">Timestamp</t>
  </si>
  <si>
    <t xml:space="preserve">source</t>
  </si>
  <si>
    <t xml:space="preserve">source_provider (varchar(20))</t>
  </si>
  <si>
    <t xml:space="preserve">'API' / 'UI' / 'CFT'</t>
  </si>
  <si>
    <t xml:space="preserve">filename</t>
  </si>
  <si>
    <t xml:space="preserve">Original file name</t>
  </si>
  <si>
    <t xml:space="preserve">processing_status</t>
  </si>
  <si>
    <t xml:space="preserve">processing_status (ENUM)</t>
  </si>
  <si>
    <t xml:space="preserve">metadata_id</t>
  </si>
  <si>
    <t xml:space="preserve">FK to metadata</t>
  </si>
  <si>
    <t xml:space="preserve">pre_processing_step_id</t>
  </si>
  <si>
    <t xml:space="preserve">FK to preprocessing_steps</t>
  </si>
  <si>
    <t xml:space="preserve">extraction_step_id</t>
  </si>
  <si>
    <t xml:space="preserve">FK to extraction_steps</t>
  </si>
  <si>
    <t xml:space="preserve">user_id</t>
  </si>
  <si>
    <t xml:space="preserve">User identifier (e.g. j59209)</t>
  </si>
  <si>
    <t xml:space="preserve">Step 2 – sum of the stored column sizes (B)</t>
  </si>
  <si>
    <t xml:space="preserve">Step 2 – sum of alignment padding (B)</t>
  </si>
  <si>
    <t xml:space="preserve">Step 3 – end of the last column (B)</t>
  </si>
  <si>
    <t xml:space="preserve">Step 4 – tuple aligned to MAXALIGN 8 (B)</t>
  </si>
  <si>
    <t xml:space="preserve">Step 4 – + ItemId line pointer (B)</t>
  </si>
  <si>
    <t xml:space="preserve">Step 5 – rows per 8 KB page</t>
  </si>
  <si>
    <t xml:space="preserve">Step 5 – EFFECTIVE ROW SIZE (B)</t>
  </si>
  <si>
    <t xml:space="preserve">Table submission_status_history</t>
  </si>
  <si>
    <t xml:space="preserve">submission_status_history</t>
  </si>
  <si>
    <t xml:space="preserve">6 columns</t>
  </si>
  <si>
    <t xml:space="preserve">Sequence identifier</t>
  </si>
  <si>
    <t xml:space="preserve">submission_id</t>
  </si>
  <si>
    <t xml:space="preserve">FK to submissions</t>
  </si>
  <si>
    <t xml:space="preserve">new_status</t>
  </si>
  <si>
    <t xml:space="preserve">change_timestamp</t>
  </si>
  <si>
    <t xml:space="preserve">Change timestamp</t>
  </si>
  <si>
    <t xml:space="preserve">changed_by</t>
  </si>
  <si>
    <t xml:space="preserve">varchar(50)</t>
  </si>
  <si>
    <t xml:space="preserve">Technical account (e.g. datacapture-batch)</t>
  </si>
  <si>
    <t xml:space="preserve">new_processing_status</t>
  </si>
  <si>
    <t xml:space="preserve">Table metadata</t>
  </si>
  <si>
    <t xml:space="preserve">metadata</t>
  </si>
  <si>
    <t xml:space="preserve">tpn_id</t>
  </si>
  <si>
    <t xml:space="preserve">varchar(255)</t>
  </si>
  <si>
    <t xml:space="preserve">Third-party identifier</t>
  </si>
  <si>
    <t xml:space="preserve">confidentiality</t>
  </si>
  <si>
    <t xml:space="preserve">confidentiality_code (varchar(30))</t>
  </si>
  <si>
    <t xml:space="preserve">'CONFIDENTIAL'</t>
  </si>
  <si>
    <t xml:space="preserve">extension</t>
  </si>
  <si>
    <t xml:space="preserve">extension_type (varchar(30))</t>
  </si>
  <si>
    <t xml:space="preserve">'PDF'</t>
  </si>
  <si>
    <t xml:space="preserve">received_at</t>
  </si>
  <si>
    <t xml:space="preserve">timestamp(6)</t>
  </si>
  <si>
    <t xml:space="preserve">Reception timestamp</t>
  </si>
  <si>
    <t xml:space="preserve">size</t>
  </si>
  <si>
    <t xml:space="preserve">File size in bytes</t>
  </si>
  <si>
    <t xml:space="preserve">Table preprocessing_steps</t>
  </si>
  <si>
    <t xml:space="preserve">preprocessing_steps</t>
  </si>
  <si>
    <t xml:space="preserve">end_time</t>
  </si>
  <si>
    <t xml:space="preserve">End of pre-processing</t>
  </si>
  <si>
    <t xml:space="preserve">output_file_path</t>
  </si>
  <si>
    <t xml:space="preserve">COS path of the pre-processed file</t>
  </si>
  <si>
    <t xml:space="preserve">start_time</t>
  </si>
  <si>
    <t xml:space="preserve">Start of pre-processing</t>
  </si>
  <si>
    <t xml:space="preserve">cleared_document_id</t>
  </si>
  <si>
    <t xml:space="preserve">varchar(30)</t>
  </si>
  <si>
    <t xml:space="preserve">Identifier of the cleaned document</t>
  </si>
  <si>
    <t xml:space="preserve">document_format</t>
  </si>
  <si>
    <t xml:space="preserve">'application/pdf'</t>
  </si>
  <si>
    <t xml:space="preserve">document_type</t>
  </si>
  <si>
    <t xml:space="preserve">document_type (varchar(30))</t>
  </si>
  <si>
    <t xml:space="preserve">'SCANNED' / 'NATIVE'</t>
  </si>
  <si>
    <t xml:space="preserve">extraction_provider</t>
  </si>
  <si>
    <t xml:space="preserve">extraction_provider (varchar(20))</t>
  </si>
  <si>
    <t xml:space="preserve">'ABBY_FLEXICAPTURE'</t>
  </si>
  <si>
    <t xml:space="preserve">total_pages</t>
  </si>
  <si>
    <t xml:space="preserve">integer</t>
  </si>
  <si>
    <t xml:space="preserve">Number of pages</t>
  </si>
  <si>
    <t xml:space="preserve">total_useful_pages</t>
  </si>
  <si>
    <t xml:space="preserve">Useful pages</t>
  </si>
  <si>
    <t xml:space="preserve">error_message</t>
  </si>
  <si>
    <t xml:space="preserve">NULL in nominal processing</t>
  </si>
  <si>
    <t xml:space="preserve">Y</t>
  </si>
  <si>
    <t xml:space="preserve">error_code</t>
  </si>
  <si>
    <t xml:space="preserve">varchar(10)</t>
  </si>
  <si>
    <t xml:space="preserve">Table extraction_steps</t>
  </si>
  <si>
    <t xml:space="preserve">extraction_steps</t>
  </si>
  <si>
    <t xml:space="preserve">8 columns</t>
  </si>
  <si>
    <t xml:space="preserve">End of extraction</t>
  </si>
  <si>
    <t xml:space="preserve">Start of extraction</t>
  </si>
  <si>
    <t xml:space="preserve">extraction_id</t>
  </si>
  <si>
    <t xml:space="preserve">Identifier at the provider</t>
  </si>
  <si>
    <t xml:space="preserve">COS path of the extraction JSON</t>
  </si>
  <si>
    <t xml:space="preserve">Table batch_job_instance</t>
  </si>
  <si>
    <t xml:space="preserve">batch_job_instance</t>
  </si>
  <si>
    <t xml:space="preserve">4 columns</t>
  </si>
  <si>
    <t xml:space="preserve">job_instance_id</t>
  </si>
  <si>
    <t xml:space="preserve">Identifier</t>
  </si>
  <si>
    <t xml:space="preserve">version</t>
  </si>
  <si>
    <t xml:space="preserve">Optimistic lock</t>
  </si>
  <si>
    <t xml:space="preserve">job_name</t>
  </si>
  <si>
    <t xml:space="preserve">varchar(100)</t>
  </si>
  <si>
    <t xml:space="preserve">e.g. finstarSubmissionJob</t>
  </si>
  <si>
    <t xml:space="preserve">job_key</t>
  </si>
  <si>
    <t xml:space="preserve">varchar(32)</t>
  </si>
  <si>
    <t xml:space="preserve">MD5 hash of the identifying parameters</t>
  </si>
  <si>
    <t xml:space="preserve">Table batch_job_execution</t>
  </si>
  <si>
    <t xml:space="preserve">batch_job_execution</t>
  </si>
  <si>
    <t xml:space="preserve">10 columns</t>
  </si>
  <si>
    <t xml:space="preserve">job_execution_id</t>
  </si>
  <si>
    <t xml:space="preserve">FK to batch_job_instance</t>
  </si>
  <si>
    <t xml:space="preserve">create_time</t>
  </si>
  <si>
    <t xml:space="preserve">timestamp</t>
  </si>
  <si>
    <t xml:space="preserve">Creation</t>
  </si>
  <si>
    <t xml:space="preserve">Start</t>
  </si>
  <si>
    <t xml:space="preserve">End</t>
  </si>
  <si>
    <t xml:space="preserve">'COMPLETED'</t>
  </si>
  <si>
    <t xml:space="preserve">exit_code</t>
  </si>
  <si>
    <t xml:space="preserve">varchar(2500)</t>
  </si>
  <si>
    <t xml:space="preserve">exit_message</t>
  </si>
  <si>
    <t xml:space="preserve">Empty string on success</t>
  </si>
  <si>
    <t xml:space="preserve">last_updated</t>
  </si>
  <si>
    <t xml:space="preserve">Last update</t>
  </si>
  <si>
    <t xml:space="preserve">Table batch_job_execution_params</t>
  </si>
  <si>
    <t xml:space="preserve">batch_job_execution_params</t>
  </si>
  <si>
    <t xml:space="preserve">5 columns</t>
  </si>
  <si>
    <t xml:space="preserve">FK to batch_job_execution</t>
  </si>
  <si>
    <t xml:space="preserve">parameter_name</t>
  </si>
  <si>
    <t xml:space="preserve">e.g. run.id</t>
  </si>
  <si>
    <t xml:space="preserve">parameter_type</t>
  </si>
  <si>
    <t xml:space="preserve">e.g. java.lang.Long</t>
  </si>
  <si>
    <t xml:space="preserve">parameter_value</t>
  </si>
  <si>
    <t xml:space="preserve">Value (average)</t>
  </si>
  <si>
    <t xml:space="preserve">identifying</t>
  </si>
  <si>
    <t xml:space="preserve">char(1)</t>
  </si>
  <si>
    <t xml:space="preserve">'Y' (bpchar = varlena)</t>
  </si>
  <si>
    <t xml:space="preserve">Table batch_step_execution</t>
  </si>
  <si>
    <t xml:space="preserve">batch_step_execution</t>
  </si>
  <si>
    <t xml:space="preserve">19 columns</t>
  </si>
  <si>
    <t xml:space="preserve">step_execution_id</t>
  </si>
  <si>
    <t xml:space="preserve">step_name</t>
  </si>
  <si>
    <t xml:space="preserve">e.g. submissionStep</t>
  </si>
  <si>
    <t xml:space="preserve">commit_count</t>
  </si>
  <si>
    <t xml:space="preserve">Counter</t>
  </si>
  <si>
    <t xml:space="preserve">read_count</t>
  </si>
  <si>
    <t xml:space="preserve">filter_count</t>
  </si>
  <si>
    <t xml:space="preserve">write_count</t>
  </si>
  <si>
    <t xml:space="preserve">read_skip_count</t>
  </si>
  <si>
    <t xml:space="preserve">write_skip_count</t>
  </si>
  <si>
    <t xml:space="preserve">process_skip_count</t>
  </si>
  <si>
    <t xml:space="preserve">rollback_count</t>
  </si>
  <si>
    <t xml:space="preserve">Table batch_job_execution_context</t>
  </si>
  <si>
    <t xml:space="preserve">batch_job_execution_context</t>
  </si>
  <si>
    <t xml:space="preserve">3 columns</t>
  </si>
  <si>
    <t xml:space="preserve">short_context</t>
  </si>
  <si>
    <t xml:space="preserve">Serialized context encoded in base64 (almost empty context)</t>
  </si>
  <si>
    <t xml:space="preserve">serialized_context</t>
  </si>
  <si>
    <t xml:space="preserve">NULL if the context fits in short_context</t>
  </si>
  <si>
    <t xml:space="preserve">Table batch_step_execution_context</t>
  </si>
  <si>
    <t xml:space="preserve">batch_step_execution_context</t>
  </si>
  <si>
    <t xml:space="preserve">Base64 context (reader state, step type)</t>
  </si>
  <si>
    <t xml:space="preserve">Index size calculation per row</t>
  </si>
  <si>
    <t xml:space="preserve">B-tree entry = 8 B IndexTuple header + key, rounded to 8, + 4 B pointer. With deduplication (PG 13+, repeated values): one key + a list of 6 B TIDs, cost shared across n rows. Usable page = (8,192 − 24 − 16) × 90% fillfactor.</t>
  </si>
  <si>
    <t xml:space="preserve">Index</t>
  </si>
  <si>
    <t xml:space="preserve">Column(s)</t>
  </si>
  <si>
    <t xml:space="preserve">Key type</t>
  </si>
  <si>
    <t xml:space="preserve">Key size (B)</t>
  </si>
  <si>
    <t xml:space="preserve">Dedup.?</t>
  </si>
  <si>
    <t xml:space="preserve">Rows per key (n)</t>
  </si>
  <si>
    <t xml:space="preserve">Entry per row (B)</t>
  </si>
  <si>
    <t xml:space="preserve">Effective size per row (B)</t>
  </si>
  <si>
    <t xml:space="preserve">Comment</t>
  </si>
  <si>
    <t xml:space="preserve">submissions_pkey</t>
  </si>
  <si>
    <t xml:space="preserve">One entry per row</t>
  </si>
  <si>
    <t xml:space="preserve">ukg7wx331nfoxbc53x8g8k2x02a (UNIQUE)</t>
  </si>
  <si>
    <t xml:space="preserve">varchar 36 chars</t>
  </si>
  <si>
    <t xml:space="preserve">idx1y0y6t7vasjgay6dtwvhh9m5b</t>
  </si>
  <si>
    <t xml:space="preserve">varchar 3 chars – 4 values</t>
  </si>
  <si>
    <t xml:space="preserve">Deduplication: cost ≈ 6 B per row</t>
  </si>
  <si>
    <t xml:space="preserve">idx2uyks9w6p1klev8s28329gheb</t>
  </si>
  <si>
    <t xml:space="preserve">upload_ts DESC</t>
  </si>
  <si>
    <t xml:space="preserve">idx6tj3to5q0pe6fcmykumkq3790</t>
  </si>
  <si>
    <t xml:space="preserve">ENUM – 7 values</t>
  </si>
  <si>
    <t xml:space="preserve">idx_submissions_uuid</t>
  </si>
  <si>
    <t xml:space="preserve">varchar 8 chars – few values</t>
  </si>
  <si>
    <t xml:space="preserve">submission_status_history_pkey</t>
  </si>
  <si>
    <t xml:space="preserve">ssh_change_timestamp</t>
  </si>
  <si>
    <t xml:space="preserve">change_timestamp DESC</t>
  </si>
  <si>
    <t xml:space="preserve">ssh_changed_by</t>
  </si>
  <si>
    <t xml:space="preserve">varchar 17 chars – a few accounts</t>
  </si>
  <si>
    <t xml:space="preserve">ssh_submission_id</t>
  </si>
  <si>
    <t xml:space="preserve">bigint – 8 rows per value</t>
  </si>
  <si>
    <t xml:space="preserve">metadata_pkey</t>
  </si>
  <si>
    <t xml:space="preserve">idx2q7jtfxutufaqpuo77yd8ujhc</t>
  </si>
  <si>
    <t xml:space="preserve">varchar 3 chars – &lt; 10 values</t>
  </si>
  <si>
    <t xml:space="preserve">idx8o6s21j82onh2obeoyi4r7fgw</t>
  </si>
  <si>
    <t xml:space="preserve">received_at DESC</t>
  </si>
  <si>
    <t xml:space="preserve">idxkan0v9t2cswuwj9hp70sdrex0</t>
  </si>
  <si>
    <t xml:space="preserve">varchar 12 chars</t>
  </si>
  <si>
    <t xml:space="preserve">preprocessing_steps_pkey</t>
  </si>
  <si>
    <t xml:space="preserve">extraction_steps_pkey</t>
  </si>
  <si>
    <t xml:space="preserve">ukkkbno1k9d61anwbxkfmbwxs76 (UNIQUE)</t>
  </si>
  <si>
    <t xml:space="preserve">varchar 20 chars</t>
  </si>
  <si>
    <t xml:space="preserve">batch_job_instance_pkey</t>
  </si>
  <si>
    <t xml:space="preserve">job_inst_un (UNIQUE)</t>
  </si>
  <si>
    <t xml:space="preserve">job_name, job_key</t>
  </si>
  <si>
    <t xml:space="preserve">varchar 20 + 32 chars</t>
  </si>
  <si>
    <t xml:space="preserve">batch_job_execution_pkey</t>
  </si>
  <si>
    <t xml:space="preserve">batch_step_execution_pkey</t>
  </si>
  <si>
    <t xml:space="preserve">batch_job_execution_context_pkey</t>
  </si>
  <si>
    <t xml:space="preserve">batch_step_execution_context_pkey</t>
  </si>
  <si>
    <t xml:space="preserve">Detailed table analysis (excluding norm)</t>
  </si>
  <si>
    <t xml:space="preserve">Columns D–F: from the calculation sheets. Yellow columns H–J: production measurements (query Q1). K = table_size / row_count.</t>
  </si>
  <si>
    <t xml:space="preserve">Rows / unit</t>
  </si>
  <si>
    <t xml:space="preserve">Effective row size (B)</t>
  </si>
  <si>
    <t xml:space="preserve">Index / row (B)</t>
  </si>
  <si>
    <t xml:space="preserve">Bytes / unit (data + indexes)</t>
  </si>
  <si>
    <t xml:space="preserve">No. of indexes</t>
  </si>
  <si>
    <t xml:space="preserve">Measured rows</t>
  </si>
  <si>
    <t xml:space="preserve">Measured data (MB)</t>
  </si>
  <si>
    <t xml:space="preserve">Measured indexes (MB)</t>
  </si>
  <si>
    <t xml:space="preserve">Measured avg row size (B)</t>
  </si>
  <si>
    <t xml:space="preserve">Rows in 5 years</t>
  </si>
  <si>
    <t xml:space="preserve">Size in 5 years (MB)</t>
  </si>
  <si>
    <t xml:space="preserve">Share of 5-year total</t>
  </si>
  <si>
    <t xml:space="preserve">Criticality</t>
  </si>
  <si>
    <t xml:space="preserve">Archiving</t>
  </si>
  <si>
    <t xml:space="preserve">Partitioning</t>
  </si>
  <si>
    <t xml:space="preserve">DBA comment</t>
  </si>
  <si>
    <t xml:space="preserve">File</t>
  </si>
  <si>
    <t xml:space="preserve">Critical</t>
  </si>
  <si>
    <t xml:space="preserve">Yes (&gt; 13 months)</t>
  </si>
  <si>
    <t xml:space="preserve">No</t>
  </si>
  <si>
    <t xml:space="preserve">Hub table, 6 to 10 status UPDATEs per file: bloat; unindexed FKs.</t>
  </si>
  <si>
    <t xml:space="preserve">Yes if &gt; 10 M rows (monthly RANGE)</t>
  </si>
  <si>
    <t xml:space="preserve">Largest table: 8 rows per file, insert-only.</t>
  </si>
  <si>
    <t xml:space="preserve">Major</t>
  </si>
  <si>
    <t xml:space="preserve">Yes (with submissions)</t>
  </si>
  <si>
    <t xml:space="preserve">Purge to be orchestrated after submissions (FK without ON DELETE).</t>
  </si>
  <si>
    <t xml:space="preserve">Widest row of the business tables (COS path + 6 text fields).</t>
  </si>
  <si>
    <t xml:space="preserve">Inverted cascade to submissions.</t>
  </si>
  <si>
    <t xml:space="preserve">Spring Batch tables (unit = one job execution)</t>
  </si>
  <si>
    <t xml:space="preserve">Execution</t>
  </si>
  <si>
    <t xml:space="preserve">90-day purge</t>
  </si>
  <si>
    <t xml:space="preserve">One instance per execution with RunIdIncrementer.</t>
  </si>
  <si>
    <t xml:space="preserve">FK job_instance_id not indexed.</t>
  </si>
  <si>
    <t xml:space="preserve">No index: seq scan.</t>
  </si>
  <si>
    <t xml:space="preserve">FK job_execution_id not indexed.</t>
  </si>
  <si>
    <t xml:space="preserve">Moderate</t>
  </si>
  <si>
    <t xml:space="preserve">Short context in short_context.</t>
  </si>
  <si>
    <t xml:space="preserve">Largest Spring Batch row (context &gt; 126 B: 4 B header).</t>
  </si>
  <si>
    <t xml:space="preserve">TOTAL</t>
  </si>
  <si>
    <t xml:space="preserve">Input example: submissions → H = 48,000 rows, I = 12.6 MB, J = 5.7 MB ⇒ K ≈ 275 bytes/row.</t>
  </si>
  <si>
    <t xml:space="preserve">Annual projection 2027–2031: 225,000 files in 2027, +10% per year, 2 MB PDF</t>
  </si>
  <si>
    <t xml:space="preserve">Files in 2027</t>
  </si>
  <si>
    <t xml:space="preserve">Annual growth</t>
  </si>
  <si>
    <t xml:space="preserve">Year</t>
  </si>
  <si>
    <t xml:space="preserve">Annual number of PDFs</t>
  </si>
  <si>
    <t xml:space="preserve">Cumulative number of PDFs</t>
  </si>
  <si>
    <t xml:space="preserve">Average PDF size (MB)</t>
  </si>
  <si>
    <t xml:space="preserve">Annual PDF volume – COS (GB)</t>
  </si>
  <si>
    <t xml:space="preserve">Cumulative PDF volume – COS (GB)</t>
  </si>
  <si>
    <t xml:space="preserve">Growth %</t>
  </si>
  <si>
    <t xml:space="preserve">Database data (MB)</t>
  </si>
  <si>
    <t xml:space="preserve">Estimated index size (MB)</t>
  </si>
  <si>
    <t xml:space="preserve">Spring Batch without purge (MB)</t>
  </si>
  <si>
    <t xml:space="preserve">Total database size (MB)</t>
  </si>
  <si>
    <t xml:space="preserve">Estimated backup size (MB)</t>
  </si>
  <si>
    <t xml:space="preserve">Backup storage with retention (GB)</t>
  </si>
  <si>
    <t xml:space="preserve">Extraction JSON – cumulative COS (GB)</t>
  </si>
  <si>
    <t xml:space="preserve">Total cumulative COS (GB)</t>
  </si>
  <si>
    <t xml:space="preserve">Base</t>
  </si>
  <si>
    <t xml:space="preserve">The PostgreSQL database only holds metadata; the PDF volume sits in COS (columns E, F, N, O). Current size (50 MB, 2026) included in year 2027.</t>
  </si>
  <si>
    <t xml:space="preserve">Spring Batch (col. J): without purge, worst case. See Capacity Planning for the 90-day purge variant.</t>
  </si>
  <si>
    <t xml:space="preserve">Charts – 2027–2031 (225,000 files in 2027, +10%/year)</t>
  </si>
  <si>
    <t xml:space="preserve">5-year capacity planning (2031)</t>
  </si>
  <si>
    <t xml:space="preserve">Indicator</t>
  </si>
  <si>
    <t xml:space="preserve">Calculation rule</t>
  </si>
  <si>
    <t xml:space="preserve">PostgreSQL</t>
  </si>
  <si>
    <t xml:space="preserve">Database size in 5 years – without Spring Batch purge (MB)</t>
  </si>
  <si>
    <t xml:space="preserve">Projection, year 5</t>
  </si>
  <si>
    <t xml:space="preserve">of which Spring Batch without purge (MB)</t>
  </si>
  <si>
    <t xml:space="preserve">Worst case</t>
  </si>
  <si>
    <t xml:space="preserve">Spring Batch with 90-day purge (MB)</t>
  </si>
  <si>
    <t xml:space="preserve">executions/day × retention × bytes/execution × bloat</t>
  </si>
  <si>
    <t xml:space="preserve">Database size in 5 years – with purge (MB)</t>
  </si>
  <si>
    <t xml:space="preserve">Target after purge is in place</t>
  </si>
  <si>
    <t xml:space="preserve">Required PGDATA disk capacity (GB)</t>
  </si>
  <si>
    <t xml:space="preserve">Size without purge × margin + pg_wal reserve</t>
  </si>
  <si>
    <t xml:space="preserve">Recommended disk capacity (GB)</t>
  </si>
  <si>
    <t xml:space="preserve">Rounded up to the nearest 10, minimum 20 GB</t>
  </si>
  <si>
    <t xml:space="preserve">Warning threshold (GB used)</t>
  </si>
  <si>
    <t xml:space="preserve">Capacity × 70%</t>
  </si>
  <si>
    <t xml:space="preserve">Critical threshold (GB used)</t>
  </si>
  <si>
    <t xml:space="preserve">Capacity × 85%</t>
  </si>
  <si>
    <t xml:space="preserve">Backup</t>
  </si>
  <si>
    <t xml:space="preserve">Compressed full backup in 5 years (MB)</t>
  </si>
  <si>
    <t xml:space="preserve">Database size × compression ratio</t>
  </si>
  <si>
    <t xml:space="preserve">14 fulls + 14 days of WAL</t>
  </si>
  <si>
    <t xml:space="preserve">Restore</t>
  </si>
  <si>
    <t xml:space="preserve">Physical restore time (min)</t>
  </si>
  <si>
    <t xml:space="preserve">(database + 1 day of WAL) / throughput</t>
  </si>
  <si>
    <t xml:space="preserve">Logical restore time pg_restore (min)</t>
  </si>
  <si>
    <t xml:space="preserve">≈ ×4: index rebuild</t>
  </si>
  <si>
    <t xml:space="preserve">COS object storage</t>
  </si>
  <si>
    <t xml:space="preserve">Cumulative COS volume in 5 years (GB)</t>
  </si>
  <si>
    <t xml:space="preserve">PDF + JSON</t>
  </si>
  <si>
    <t xml:space="preserve">Recommended COS volume with margin (TB)</t>
  </si>
  <si>
    <t xml:space="preserve">+20 %</t>
  </si>
  <si>
    <t xml:space="preserve">Operational alert thresholds</t>
  </si>
  <si>
    <t xml:space="preserve">Metric</t>
  </si>
  <si>
    <t xml:space="preserve">Warning / Critical</t>
  </si>
  <si>
    <t xml:space="preserve">Source</t>
  </si>
  <si>
    <t xml:space="preserve">PGDATA disk usage</t>
  </si>
  <si>
    <t xml:space="preserve">70 % / 85 %</t>
  </si>
  <si>
    <t xml:space="preserve">System monitoring</t>
  </si>
  <si>
    <t xml:space="preserve">Failed WAL archiving</t>
  </si>
  <si>
    <t xml:space="preserve">&gt; 0 / &gt; 3 consecutive</t>
  </si>
  <si>
    <t xml:space="preserve">pg_stat_archiver.failed_count</t>
  </si>
  <si>
    <t xml:space="preserve">Age of the oldest XID</t>
  </si>
  <si>
    <t xml:space="preserve">&gt; 500 M / &gt; 1 000 M</t>
  </si>
  <si>
    <t xml:space="preserve">age(datfrozenxid)</t>
  </si>
  <si>
    <t xml:space="preserve">Longest transaction</t>
  </si>
  <si>
    <t xml:space="preserve">&gt; 5 min / &gt; 30 min</t>
  </si>
  <si>
    <t xml:space="preserve">pg_stat_activity.xact_start</t>
  </si>
  <si>
    <t xml:space="preserve">Sessions idle in transaction</t>
  </si>
  <si>
    <t xml:space="preserve">&gt; 2 min / &gt; 10 min</t>
  </si>
  <si>
    <t xml:space="preserve">pg_stat_activity.state</t>
  </si>
  <si>
    <t xml:space="preserve">Connections used</t>
  </si>
  <si>
    <t xml:space="preserve">&gt; 70% / &gt; 90% of max_connections</t>
  </si>
  <si>
    <t xml:space="preserve">pg_stat_activity</t>
  </si>
  <si>
    <t xml:space="preserve">Cache hit ratio</t>
  </si>
  <si>
    <t xml:space="preserve">&lt; 99 % / &lt; 95 %</t>
  </si>
  <si>
    <t xml:space="preserve">pg_stat_database</t>
  </si>
  <si>
    <t xml:space="preserve">Dead tuples on submissions</t>
  </si>
  <si>
    <t xml:space="preserve">&gt; 10 % / &gt; 20 %</t>
  </si>
  <si>
    <t xml:space="preserve">pg_stat_user_tables</t>
  </si>
  <si>
    <t xml:space="preserve">Forced checkpoints</t>
  </si>
  <si>
    <t xml:space="preserve">&gt; 10 % / &gt; 30 %</t>
  </si>
  <si>
    <t xml:space="preserve">pg_stat_bgwriter</t>
  </si>
  <si>
    <t xml:space="preserve">batch_job_execution rows</t>
  </si>
  <si>
    <t xml:space="preserve">&gt; retention +10% / &gt; 2× retention</t>
  </si>
  <si>
    <t xml:space="preserve">Purge check</t>
  </si>
  <si>
    <t xml:space="preserve">Files stuck in *_ON_HOLD</t>
  </si>
  <si>
    <t xml:space="preserve">&gt; 1 h / &gt; 4 h</t>
  </si>
  <si>
    <t xml:space="preserve">submissions.processing_status</t>
  </si>
  <si>
    <t xml:space="preserve">Last successful backup</t>
  </si>
  <si>
    <t xml:space="preserve">&gt; 26 h / &gt; 48 h</t>
  </si>
  <si>
    <t xml:space="preserve">Backup tool</t>
  </si>
  <si>
    <t xml:space="preserve">Index analysis and recommendations</t>
  </si>
  <si>
    <t xml:space="preserve">Indexes that are “candidates for removal” must only be dropped after ≥ 3 months of observation (idx_scan = 0 in pg_stat_user_indexes, including on replicas).</t>
  </si>
  <si>
    <t xml:space="preserve">Finding type</t>
  </si>
  <si>
    <t xml:space="preserve">Priority</t>
  </si>
  <si>
    <t xml:space="preserve">Finding</t>
  </si>
  <si>
    <t xml:space="preserve">Proposed SQL command</t>
  </si>
  <si>
    <t xml:space="preserve">Missing index (FK)</t>
  </si>
  <si>
    <t xml:space="preserve">P1</t>
  </si>
  <si>
    <t xml:space="preserve">FK extraction_step_id with ON DELETE CASCADE without an index: each DELETE on extraction_steps scans the whole submissions table (seq scan + lock).</t>
  </si>
  <si>
    <t xml:space="preserve">CREATE INDEX CONCURRENTLY idx_submissions_extraction_step_id
  ON public.submissions (extraction_step_id);</t>
  </si>
  <si>
    <t xml:space="preserve">Same for pre_processing_step_id.</t>
  </si>
  <si>
    <t xml:space="preserve">CREATE INDEX CONCURRENTLY idx_submissions_pre_processing_step_id
  ON public.submissions (pre_processing_step_id);</t>
  </si>
  <si>
    <t xml:space="preserve">metadata_id: reverse join and future DELETE of metadata.</t>
  </si>
  <si>
    <t xml:space="preserve">CREATE INDEX CONCURRENTLY idx_submissions_metadata_id
  ON public.submissions (metadata_id);</t>
  </si>
  <si>
    <t xml:space="preserve">Missing index (partial)</t>
  </si>
  <si>
    <t xml:space="preserve">Hourly Algo polling (GET api/v2/submission, ON_HOLD files, batch of 100, chronological order): processing_status is not indexed → growing seq scan.</t>
  </si>
  <si>
    <t xml:space="preserve">CREATE INDEX CONCURRENTLY idx_submissions_onhold_upload_ts
  ON public.submissions (processing_status, upload_ts)
  WHERE processing_status IN ('PREPROCESSING_ON_HOLD','EXTRACTION_ON_HOLD','SENT_TO_FINSTAR_ON_HOLD');</t>
  </si>
  <si>
    <t xml:space="preserve">Composite index</t>
  </si>
  <si>
    <t xml:space="preserve">P2</t>
  </si>
  <si>
    <t xml:space="preserve">Operations monitoring / screens: combined status + date filters.</t>
  </si>
  <si>
    <t xml:space="preserve">CREATE INDEX CONCURRENTLY idx_submissions_status_upload_ts
  ON public.submissions (status, upload_ts DESC);
-- then, after checking idx_scan = 0:
DROP INDEX CONCURRENTLY public.idx6tj3to5q0pe6fcmykumkq3790;  -- (status) alone, covered by the composite</t>
  </si>
  <si>
    <t xml:space="preserve">Misnamed index</t>
  </si>
  <si>
    <t xml:space="preserve">idx_submissions_uuid covers user_id, not uuid (uuid is already covered by the UNIQUE constraint). Misleading name → risk of creating a duplicate on uuid.</t>
  </si>
  <si>
    <t xml:space="preserve">ALTER INDEX public.idx_submissions_uuid RENAME TO idx_submissions_user_id;</t>
  </si>
  <si>
    <t xml:space="preserve">Low-selectivity index</t>
  </si>
  <si>
    <t xml:space="preserve">P3</t>
  </si>
  <si>
    <t xml:space="preserve">source: 4 values (API, UI, PARALLEL_RUN, CFT). Low selectivity, write cost.</t>
  </si>
  <si>
    <t xml:space="preserve">-- If idx_scan = 0 after 3 months:
DROP INDEX CONCURRENTLY public.idx1y0y6t7vasjgay6dtwvhh9m5b;  -- (source)</t>
  </si>
  <si>
    <t xml:space="preserve">Composite / redundancy</t>
  </si>
  <si>
    <t xml:space="preserve">Reading the history of a submission sorted by date: a composite replaces the single submission_id index.</t>
  </si>
  <si>
    <t xml:space="preserve">CREATE INDEX CONCURRENTLY idx_ssh_submission_id_ts
  ON public.submission_status_history (submission_id, change_timestamp DESC);
DROP INDEX CONCURRENTLY public.ssh_submission_id;  -- now redundant (prefix)</t>
  </si>
  <si>
    <t xml:space="preserve">changed_by: a few technical accounts. Probably unused.</t>
  </si>
  <si>
    <t xml:space="preserve">-- If idx_scan = 0 after 3 months:
DROP INDEX CONCURRENTLY public.ssh_changed_by;</t>
  </si>
  <si>
    <t xml:space="preserve">BRIN alternative</t>
  </si>
  <si>
    <t xml:space="preserve">Insert-only table, change_timestamp correlated with physical order: a BRIN is ~1000× smaller than a B-tree for purges by period.</t>
  </si>
  <si>
    <t xml:space="preserve">CREATE INDEX CONCURRENTLY brin_ssh_change_timestamp
  ON public.submission_status_history USING brin (change_timestamp);
-- then drop ssh_change_timestamp if only range queries use it</t>
  </si>
  <si>
    <t xml:space="preserve">extension: &lt; 10 values (extension_type domain).</t>
  </si>
  <si>
    <t xml:space="preserve">-- If idx_scan = 0 after 3 months:
DROP INDEX CONCURRENTLY public.idx2q7jtfxutufaqpuo77yd8ujhc;  -- (extension)</t>
  </si>
  <si>
    <t xml:space="preserve">Functional redundancy</t>
  </si>
  <si>
    <t xml:space="preserve">received_at DESC functionally duplicates submissions.upload_ts DESC (1-1). Keep the one actually used.</t>
  </si>
  <si>
    <t xml:space="preserve">-- Check idx_scan of both indexes then drop the less used one:
-- DROP INDEX CONCURRENTLY public.idx8o6s21j82onh2obeoyi4r7fgw;</t>
  </si>
  <si>
    <t xml:space="preserve">Existing index</t>
  </si>
  <si>
    <t xml:space="preserve">OK</t>
  </si>
  <si>
    <t xml:space="preserve">PK + UNIQUE(extraction_id): suitable for lookups by provider identifier (ABBY/Algo).</t>
  </si>
  <si>
    <t xml:space="preserve">-- No action</t>
  </si>
  <si>
    <t xml:space="preserve">Spring Batch creates no index on FKs: JobRepository (getLastJobExecution, restart) scans the table.</t>
  </si>
  <si>
    <t xml:space="preserve">CREATE INDEX CONCURRENTLY idx_bje_job_instance_id
  ON batch_job_execution (job_instance_id);</t>
  </si>
  <si>
    <t xml:space="preserve">Lookup of the steps of an execution (restart, purge).</t>
  </si>
  <si>
    <t xml:space="preserve">CREATE INDEX CONCURRENTLY idx_bse_job_execution_id
  ON batch_step_execution (job_execution_id);</t>
  </si>
  <si>
    <t xml:space="preserve">No index: parameter reads and purge use seq scans.</t>
  </si>
  <si>
    <t xml:space="preserve">CREATE INDEX CONCURRENTLY idx_bjep_job_execution_id
  ON batch_job_execution_params (job_execution_id);</t>
  </si>
  <si>
    <t xml:space="preserve">Purge index</t>
  </si>
  <si>
    <t xml:space="preserve">Purge by end date.</t>
  </si>
  <si>
    <t xml:space="preserve">CREATE INDEX CONCURRENTLY idx_bje_end_time
  ON batch_job_execution (end_time);</t>
  </si>
  <si>
    <t xml:space="preserve">All</t>
  </si>
  <si>
    <t xml:space="preserve">Tables with heavy status updates: leave room in pages for HOT updates and reduce bloat.</t>
  </si>
  <si>
    <t xml:space="preserve">ALTER TABLE public.submissions SET (fillfactor = 85,
  autovacuum_vacuum_scale_factor = 0.02,
  autovacuum_analyze_scale_factor = 0.01);
-- effective for new pages; pg_repack for existing ones</t>
  </si>
  <si>
    <t xml:space="preserve">Collection queries (to be run in production)</t>
  </si>
  <si>
    <t xml:space="preserve">Ref.</t>
  </si>
  <si>
    <t xml:space="preserve">SQL</t>
  </si>
  <si>
    <t xml:space="preserve">Q1</t>
  </si>
  <si>
    <t xml:space="preserve">Volume by table: rows, data, indexes, average row size</t>
  </si>
  <si>
    <t xml:space="preserve">SELECT c.relname AS table_name,
       c.reltuples::bigint AS estimated_rows,
       pg_size_pretty(pg_total_relation_size(c.oid)) AS total_size,
       round(pg_relation_size(c.oid)/1048576.0, 2) AS data_mb,
       round(pg_indexes_size(c.oid)/1048576.0, 2) AS index_mb,
       round(COALESCE(pg_total_relation_size(c.reltoastrelid),0)/1048576.0, 2) AS toast_mb,
       CASE WHEN c.reltuples &gt; 0
            THEN round(pg_relation_size(c.oid)/c.reltuples) END AS avg_row_bytes
FROM pg_class c JOIN pg_namespace n ON n.oid = c.relnamespace
WHERE c.relkind IN ('r','p') AND n.nspname NOT IN ('pg_catalog','information_schema')
ORDER BY pg_total_relation_size(c.oid) DESC;</t>
  </si>
  <si>
    <t xml:space="preserve">Q2</t>
  </si>
  <si>
    <t xml:space="preserve">Largest indexes and usage</t>
  </si>
  <si>
    <t xml:space="preserve">SELECT schemaname, relname AS table_name, indexrelname AS index_name,
       pg_size_pretty(pg_relation_size(indexrelid)) AS size, idx_scan, idx_tup_read
FROM pg_stat_user_indexes
ORDER BY pg_relation_size(indexrelid) DESC;</t>
  </si>
  <si>
    <t xml:space="preserve">Q3</t>
  </si>
  <si>
    <t xml:space="preserve">Unused indexes (excluding PK/UNIQUE)</t>
  </si>
  <si>
    <t xml:space="preserve">SELECT s.relname, s.indexrelname, s.idx_scan, pg_size_pretty(pg_relation_size(s.indexrelid))
FROM pg_stat_user_indexes s JOIN pg_index i ON i.indexrelid = s.indexrelid
WHERE s.idx_scan = 0 AND NOT i.indisunique AND NOT i.indisprimary
ORDER BY pg_relation_size(s.indexrelid) DESC;
-- Also check the last reset date: SELECT stats_reset FROM pg_stat_database WHERE datname = current_database();</t>
  </si>
  <si>
    <t xml:space="preserve">Q4</t>
  </si>
  <si>
    <t xml:space="preserve">Duplicate / redundant indexes (same definition)</t>
  </si>
  <si>
    <t xml:space="preserve">SELECT indrelid::regclass AS table_name, array_agg(indexrelid::regclass) AS duplicate_indexes
FROM pg_index
GROUP BY indrelid, indkey::text, COALESCE(indexprs::text,''), COALESCE(indpred::text,'')
HAVING count(*) &gt; 1;</t>
  </si>
  <si>
    <t xml:space="preserve">Q5</t>
  </si>
  <si>
    <t xml:space="preserve">FKs without an index</t>
  </si>
  <si>
    <t xml:space="preserve">SELECT c.conrelid::regclass AS table_name, c.conname, a.attname
FROM pg_constraint c
JOIN pg_attribute a ON a.attrelid = c.conrelid AND a.attnum = c.conkey[1]
WHERE c.contype = 'f'
  AND NOT EXISTS (SELECT 1 FROM pg_index i
                  WHERE i.indrelid = c.conrelid AND i.indkey[0] = c.conkey[1]);</t>
  </si>
  <si>
    <t xml:space="preserve">Q6</t>
  </si>
  <si>
    <t xml:space="preserve">Sequential vs index scans, dead tuples, autovacuum</t>
  </si>
  <si>
    <t xml:space="preserve">SELECT relname, seq_scan, seq_tup_read, idx_scan, n_live_tup, n_dead_tup,
       round(100.0*n_dead_tup/NULLIF(n_live_tup,0),1) AS pct_dead,
       n_tup_upd, n_tup_hot_upd,
       last_autovacuum, last_autoanalyze, autovacuum_count
FROM pg_stat_user_tables ORDER BY seq_tup_read DESC;</t>
  </si>
  <si>
    <t xml:space="preserve">Q7</t>
  </si>
  <si>
    <t xml:space="preserve">Audited configuration parameters</t>
  </si>
  <si>
    <t xml:space="preserve">SELECT name, setting, unit, source
FROM pg_settings
WHERE name IN ('shared_buffers','work_mem','maintenance_work_mem','effective_cache_size',
  'max_connections','checkpoint_timeout','max_wal_size','min_wal_size','checkpoint_completion_target',
  'wal_compression','random_page_cost','autovacuum','autovacuum_max_workers','autovacuum_naptime',
  'autovacuum_vacuum_scale_factor','autovacuum_analyze_scale_factor','log_min_duration_statement',
  'idle_in_transaction_session_timeout','statement_timeout','shared_preload_libraries',
  'password_encryption','ssl','log_connections','log_autovacuum_min_duration','track_io_timing');</t>
  </si>
  <si>
    <t xml:space="preserve">Q8</t>
  </si>
  <si>
    <t xml:space="preserve">Checkpoints and bgwriter</t>
  </si>
  <si>
    <t xml:space="preserve">SELECT checkpoints_timed, checkpoints_req,
       round(100.0*checkpoints_req/NULLIF(checkpoints_timed+checkpoints_req,0),1) AS pct_req,
       buffers_checkpoint, buffers_backend, maxwritten_clean, stats_reset
FROM pg_stat_bgwriter;  -- PostgreSQL 15</t>
  </si>
  <si>
    <t xml:space="preserve">Q9</t>
  </si>
  <si>
    <t xml:space="preserve">Roles and privileges</t>
  </si>
  <si>
    <t xml:space="preserve">SELECT rolname, rolsuper, rolcreaterole, rolcreatedb, rolcanlogin, rolreplication,
       rolbypassrls, rolconnlimit, rolvaliduntil
FROM pg_roles WHERE rolname !~ '^pg_' ORDER BY rolname;
SELECT grantee, table_name, string_agg(privilege_type, ', ')
FROM information_schema.role_table_grants
WHERE table_schema = 'public' GROUP BY grantee, table_name ORDER BY 1,2;</t>
  </si>
  <si>
    <t xml:space="preserve">Q10</t>
  </si>
  <si>
    <t xml:space="preserve">Application account actually used</t>
  </si>
  <si>
    <t xml:space="preserve">SELECT usename, application_name, client_addr, count(*)
FROM pg_stat_activity WHERE datname = current_database()
GROUP BY 1,2,3 ORDER BY 4 DESC;</t>
  </si>
  <si>
    <t xml:space="preserve">Q11</t>
  </si>
  <si>
    <t xml:space="preserve">Business ratios (feed the assumptions)</t>
  </si>
  <si>
    <t xml:space="preserve">SELECT (SELECT count(*) FROM submission_status_history)::numeric
       / NULLIF((SELECT count(*) FROM submissions),0) AS history_rows_per_pdf,
       (SELECT round(avg(size)/1048576.0,3) FROM metadata) AS avg_pdf_size_mb,
       (SELECT count(*) FROM batch_job_execution
          WHERE create_time &gt; now() - interval '7 days')/7.0 AS executions_per_day;</t>
  </si>
  <si>
    <t xml:space="preserve">Q12</t>
  </si>
  <si>
    <t xml:space="preserve">Most expensive queries (pg_stat_statements required)</t>
  </si>
  <si>
    <t xml:space="preserve">SELECT left(query,120) AS query_text, calls, round(total_exec_time) AS total_ms,
       round(mean_exec_time,2) AS avg_ms, rows, shared_blks_read
FROM pg_stat_statements ORDER BY total_exec_time DESC LIMIT 20;</t>
  </si>
  <si>
    <t xml:space="preserve">Prioritised and costed roadmap</t>
  </si>
  <si>
    <t xml:space="preserve">Effort in person-days (pd); cost = effort × daily rate (Assumptions sheet).</t>
  </si>
  <si>
    <t xml:space="preserve">Action</t>
  </si>
  <si>
    <t xml:space="preserve">Horizon</t>
  </si>
  <si>
    <t xml:space="preserve">Risk addressed</t>
  </si>
  <si>
    <t xml:space="preserve">Effort (pd)</t>
  </si>
  <si>
    <t xml:space="preserve">Cost (€)</t>
  </si>
  <si>
    <t xml:space="preserve">Owner</t>
  </si>
  <si>
    <t xml:space="preserve">CT-01</t>
  </si>
  <si>
    <t xml:space="preserve">Create the submissions FK indexes (CONCURRENTLY)</t>
  </si>
  <si>
    <t xml:space="preserve">Short term</t>
  </si>
  <si>
    <t xml:space="preserve">R-M1 Cascades / seq scans</t>
  </si>
  <si>
    <t xml:space="preserve">DBA</t>
  </si>
  <si>
    <t xml:space="preserve">CT-02</t>
  </si>
  <si>
    <t xml:space="preserve">Partial ON_HOLD polling index (processing_status, upload_ts)</t>
  </si>
  <si>
    <t xml:space="preserve">R-M2 Algo polling</t>
  </si>
  <si>
    <t xml:space="preserve">CT-03</t>
  </si>
  <si>
    <t xml:space="preserve">Fix the inverted cascade (FK submissions → *_steps) and document the relationship direction</t>
  </si>
  <si>
    <t xml:space="preserve">R-C1 Data loss</t>
  </si>
  <si>
    <t xml:space="preserve">Dev + DBA</t>
  </si>
  <si>
    <t xml:space="preserve">CT-04</t>
  </si>
  <si>
    <t xml:space="preserve">Role separation: dedicated owner, application DML role, read-only role; stop using postgres</t>
  </si>
  <si>
    <t xml:space="preserve">R-C2 Security</t>
  </si>
  <si>
    <t xml:space="preserve">DBA + Security</t>
  </si>
  <si>
    <t xml:space="preserve">CT-05</t>
  </si>
  <si>
    <t xml:space="preserve">Spring Batch indexes + automated purge (90-day retention)</t>
  </si>
  <si>
    <t xml:space="preserve">R-M3 Spring Batch</t>
  </si>
  <si>
    <t xml:space="preserve">CT-06</t>
  </si>
  <si>
    <t xml:space="preserve">Minor upgrade 15.10 → 15.19 (latest 15.x)</t>
  </si>
  <si>
    <t xml:space="preserve">R-M4 CVE</t>
  </si>
  <si>
    <t xml:space="preserve">DBA / Operations</t>
  </si>
  <si>
    <t xml:space="preserve">CT-07</t>
  </si>
  <si>
    <t xml:space="preserve">PITR backup (pgBackRest/Barman) + documented restore test</t>
  </si>
  <si>
    <t xml:space="preserve">R-M6 Restore</t>
  </si>
  <si>
    <t xml:space="preserve">Operations</t>
  </si>
  <si>
    <t xml:space="preserve">CT-08</t>
  </si>
  <si>
    <t xml:space="preserve">Enable pg_stat_statements, auto_explain, log_min_duration_statement; run the collection queries</t>
  </si>
  <si>
    <t xml:space="preserve">Steering</t>
  </si>
  <si>
    <t xml:space="preserve">CT-09</t>
  </si>
  <si>
    <t xml:space="preserve">Monitoring and alert thresholds (Capacity Planning sheet)</t>
  </si>
  <si>
    <t xml:space="preserve">Saturation</t>
  </si>
  <si>
    <t xml:space="preserve">CT-10</t>
  </si>
  <si>
    <t xml:space="preserve">Versioned migrations (Flyway/Liquibase); ddl-auto=validate in production</t>
  </si>
  <si>
    <t xml:space="preserve">R-M5 Schema drift</t>
  </si>
  <si>
    <t xml:space="preserve">Dev</t>
  </si>
  <si>
    <t xml:space="preserve">MT-01</t>
  </si>
  <si>
    <t xml:space="preserve">Align ENUM / DOMAIN (drop inconsistent orphan domains)</t>
  </si>
  <si>
    <t xml:space="preserve">Medium term</t>
  </si>
  <si>
    <t xml:space="preserve">R-Mo2 Consistency</t>
  </si>
  <si>
    <t xml:space="preserve">MT-02</t>
  </si>
  <si>
    <t xml:space="preserve">Memory / checkpoint / per-table autovacuum settings (fillfactor 85 on submissions)</t>
  </si>
  <si>
    <t xml:space="preserve">Performance</t>
  </si>
  <si>
    <t xml:space="preserve">MT-03</t>
  </si>
  <si>
    <t xml:space="preserve">Migration timestamp → timestamptz</t>
  </si>
  <si>
    <t xml:space="preserve">R-Mo1 Daylight saving time</t>
  </si>
  <si>
    <t xml:space="preserve">MT-04</t>
  </si>
  <si>
    <t xml:space="preserve">Business retention policy + ordered purge of submissions/steps/metadata</t>
  </si>
  <si>
    <t xml:space="preserve">Volume / GDPR</t>
  </si>
  <si>
    <t xml:space="preserve">Business owner + Dev</t>
  </si>
  <si>
    <t xml:space="preserve">MT-05</t>
  </si>
  <si>
    <t xml:space="preserve">Major upgrade PostgreSQL 15 → 17 or 18 (PG15 end of support: November 2027)</t>
  </si>
  <si>
    <t xml:space="preserve">R-M4 EOL</t>
  </si>
  <si>
    <t xml:space="preserve">MT-06</t>
  </si>
  <si>
    <t xml:space="preserve">Review of unused indexes after 3 months of observation</t>
  </si>
  <si>
    <t xml:space="preserve">R-Mo3 Index</t>
  </si>
  <si>
    <t xml:space="preserve">MT-07</t>
  </si>
  <si>
    <t xml:space="preserve">INCREMENT BY 50 sequences + allocationSize=50 (Hibernate)</t>
  </si>
  <si>
    <t xml:space="preserve">R-F1 Sequences</t>
  </si>
  <si>
    <t xml:space="preserve">MT-08</t>
  </si>
  <si>
    <t xml:space="preserve">error_message as text; COS paths as text</t>
  </si>
  <si>
    <t xml:space="preserve">R-Mo4 Truncation</t>
  </si>
  <si>
    <t xml:space="preserve">MT-09</t>
  </si>
  <si>
    <t xml:space="preserve">Update the Confluence data model (DDL / documentation gaps)</t>
  </si>
  <si>
    <t xml:space="preserve">R-Mo5 Governance</t>
  </si>
  <si>
    <t xml:space="preserve">LT-01</t>
  </si>
  <si>
    <t xml:space="preserve">Monthly RANGE partitioning of submission_status_history (pg_partman)</t>
  </si>
  <si>
    <t xml:space="preserve">Long term</t>
  </si>
  <si>
    <t xml:space="preserve">Growth</t>
  </si>
  <si>
    <t xml:space="preserve">DBA + Dev</t>
  </si>
  <si>
    <t xml:space="preserve">LT-02</t>
  </si>
  <si>
    <t xml:space="preserve">High availability (synchronous/asynchronous replica, Patroni) according to SLA</t>
  </si>
  <si>
    <t xml:space="preserve">Availability</t>
  </si>
  <si>
    <t xml:space="preserve">LT-03</t>
  </si>
  <si>
    <t xml:space="preserve">Row-Level Security on confidentiality = RESTRICTED (if required)</t>
  </si>
  <si>
    <t xml:space="preserve">Confidentiality</t>
  </si>
  <si>
    <t xml:space="preserve">Security + Dev</t>
  </si>
  <si>
    <t xml:space="preserve">LT-04</t>
  </si>
  <si>
    <t xml:space="preserve">Move users_photo to COS</t>
  </si>
  <si>
    <t xml:space="preserve">R-F3 Binaries</t>
  </si>
  <si>
    <t xml:space="preserve">LT-05</t>
  </si>
  <si>
    <t xml:space="preserve">Annual capacity planning review (3 reviews)</t>
  </si>
  <si>
    <t xml:space="preserve">Summary by horizon</t>
  </si>
  <si>
    <t xml:space="preserve">0–6 months</t>
  </si>
  <si>
    <t xml:space="preserve">6–24 months</t>
  </si>
  <si>
    <t xml:space="preserve">2–5 years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</si>
</sst>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"/>
    <numFmt numFmtId="168" formatCode="0.00"/>
    <numFmt numFmtId="169" formatCode="0%"/>
    <numFmt numFmtId="170" formatCode="0.0"/>
    <numFmt numFmtId="171" formatCode="#,##0&quot; €&quot;"/>
    <numFmt numFmtId="172" formatCode="#,##0.0"/>
    <numFmt numFmtId="173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Growth curve – cumulative files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'5-year projection'!C6</c:f>
              <c:strCache>
                <c:ptCount val="1"/>
                <c:pt idx="0">
                  <c:v>Cumulative number of PDFs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projection'!$A$7:$A$11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'5-year projection'!$C$7:$C$11</c:f>
              <c:numCache>
                <c:formatCode>#,##0</c:formatCode>
                <c:ptCount val="5"/>
                <c:pt idx="0">
                  <c:v>225000</c:v>
                </c:pt>
                <c:pt idx="1">
                  <c:v>472500</c:v>
                </c:pt>
                <c:pt idx="2">
                  <c:v>744750</c:v>
                </c:pt>
                <c:pt idx="3">
                  <c:v>1044225</c:v>
                </c:pt>
                <c:pt idx="4">
                  <c:v>1373647.5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587636"/>
        <c:axId val="20392764"/>
      </c:lineChart>
      <c:catAx>
        <c:axId val="585876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92764"/>
        <c:crosses val="autoZero"/>
        <c:auto val="1"/>
        <c:lblAlgn val="ctr"/>
        <c:lblOffset val="100"/>
        <c:noMultiLvlLbl val="0"/>
      </c:catAx>
      <c:valAx>
        <c:axId val="20392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876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COS storage (PDF + JSON)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'5-year projection'!O6</c:f>
              <c:strCache>
                <c:ptCount val="1"/>
                <c:pt idx="0">
                  <c:v>Total cumulative COS (GB)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projection'!$A$7:$A$11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'5-year projection'!$O$7:$O$11</c:f>
              <c:numCache>
                <c:formatCode>#,##0.0</c:formatCode>
                <c:ptCount val="5"/>
                <c:pt idx="0">
                  <c:v>445.890426635742</c:v>
                </c:pt>
                <c:pt idx="1">
                  <c:v>936.369895935059</c:v>
                </c:pt>
                <c:pt idx="2">
                  <c:v>1475.89731216431</c:v>
                </c:pt>
                <c:pt idx="3">
                  <c:v>2069.37747001648</c:v>
                </c:pt>
                <c:pt idx="4">
                  <c:v>2722.20564365387</c:v>
                </c:pt>
              </c:numCache>
            </c:numRef>
          </c:val>
        </c:ser>
        <c:gapWidth val="150"/>
        <c:overlap val="0"/>
        <c:axId val="97670004"/>
        <c:axId val="36671190"/>
      </c:barChart>
      <c:catAx>
        <c:axId val="976700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71190"/>
        <c:crosses val="autoZero"/>
        <c:auto val="1"/>
        <c:lblAlgn val="ctr"/>
        <c:lblOffset val="100"/>
        <c:noMultiLvlLbl val="0"/>
      </c:catAx>
      <c:valAx>
        <c:axId val="36671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70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PostgreSQL index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'5-year projection'!I6</c:f>
              <c:strCache>
                <c:ptCount val="1"/>
                <c:pt idx="0">
                  <c:v>Estimated index size (MB)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projection'!$A$7:$A$11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'5-year projection'!$I$7:$I$11</c:f>
              <c:numCache>
                <c:formatCode>#,##0</c:formatCode>
                <c:ptCount val="5"/>
                <c:pt idx="0">
                  <c:v>218.685291952895</c:v>
                </c:pt>
                <c:pt idx="1">
                  <c:v>439.989113101079</c:v>
                </c:pt>
                <c:pt idx="2">
                  <c:v>683.423316364082</c:v>
                </c:pt>
                <c:pt idx="3">
                  <c:v>951.200939953386</c:v>
                </c:pt>
                <c:pt idx="4">
                  <c:v>1245.75632590162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221167"/>
        <c:axId val="18759794"/>
      </c:lineChart>
      <c:catAx>
        <c:axId val="30221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59794"/>
        <c:crosses val="autoZero"/>
        <c:auto val="1"/>
        <c:lblAlgn val="ctr"/>
        <c:lblOffset val="100"/>
        <c:noMultiLvlLbl val="0"/>
      </c:catAx>
      <c:valAx>
        <c:axId val="18759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21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database size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'5-year projection'!H6</c:f>
              <c:strCache>
                <c:ptCount val="1"/>
                <c:pt idx="0">
                  <c:v>Database data (MB)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projection'!$A$7:$A$11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'5-year projection'!$H$7:$H$11</c:f>
              <c:numCache>
                <c:formatCode>#,##0</c:formatCode>
                <c:ptCount val="5"/>
                <c:pt idx="0">
                  <c:v>412.016318093745</c:v>
                </c:pt>
                <c:pt idx="1">
                  <c:v>829.484267996864</c:v>
                </c:pt>
                <c:pt idx="2">
                  <c:v>1288.6990128903</c:v>
                </c:pt>
                <c:pt idx="3">
                  <c:v>1793.83523227307</c:v>
                </c:pt>
                <c:pt idx="4">
                  <c:v>2349.48507359412</c:v>
                </c:pt>
              </c:numCache>
            </c:numRef>
          </c:val>
        </c:ser>
        <c:ser>
          <c:idx val="1"/>
          <c:order val="1"/>
          <c:tx>
            <c:strRef>
              <c:f>'5-year projection'!I6</c:f>
              <c:strCache>
                <c:ptCount val="1"/>
                <c:pt idx="0">
                  <c:v>Estimated index size (MB)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projection'!$A$7:$A$11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'5-year projection'!$I$7:$I$11</c:f>
              <c:numCache>
                <c:formatCode>#,##0</c:formatCode>
                <c:ptCount val="5"/>
                <c:pt idx="0">
                  <c:v>218.685291952895</c:v>
                </c:pt>
                <c:pt idx="1">
                  <c:v>439.989113101079</c:v>
                </c:pt>
                <c:pt idx="2">
                  <c:v>683.423316364082</c:v>
                </c:pt>
                <c:pt idx="3">
                  <c:v>951.200939953386</c:v>
                </c:pt>
                <c:pt idx="4">
                  <c:v>1245.75632590162</c:v>
                </c:pt>
              </c:numCache>
            </c:numRef>
          </c:val>
        </c:ser>
        <c:ser>
          <c:idx val="2"/>
          <c:order val="2"/>
          <c:tx>
            <c:strRef>
              <c:f>'5-year projection'!J6</c:f>
              <c:strCache>
                <c:ptCount val="1"/>
                <c:pt idx="0">
                  <c:v>Spring Batch without purge (MB)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projection'!$A$7:$A$11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'5-year projection'!$J$7:$J$11</c:f>
              <c:numCache>
                <c:formatCode>#,##0</c:formatCode>
                <c:ptCount val="5"/>
                <c:pt idx="0">
                  <c:v>108.047622335786</c:v>
                </c:pt>
                <c:pt idx="1">
                  <c:v>216.095244671572</c:v>
                </c:pt>
                <c:pt idx="2">
                  <c:v>324.142867007358</c:v>
                </c:pt>
                <c:pt idx="3">
                  <c:v>432.190489343144</c:v>
                </c:pt>
                <c:pt idx="4">
                  <c:v>540.238111678929</c:v>
                </c:pt>
              </c:numCache>
            </c:numRef>
          </c:val>
        </c:ser>
        <c:gapWidth val="150"/>
        <c:overlap val="100"/>
        <c:axId val="92848457"/>
        <c:axId val="63451927"/>
      </c:barChart>
      <c:catAx>
        <c:axId val="928484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51927"/>
        <c:crosses val="autoZero"/>
        <c:auto val="1"/>
        <c:lblAlgn val="ctr"/>
        <c:lblOffset val="100"/>
        <c:noMultiLvlLbl val="0"/>
      </c:catAx>
      <c:valAx>
        <c:axId val="63451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484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8</xdr:col>
      <xdr:colOff>507600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160560</xdr:rowOff>
    </xdr:from>
    <xdr:to>
      <xdr:col>17</xdr:col>
      <xdr:colOff>507600</xdr:colOff>
      <xdr:row>16</xdr:row>
      <xdr:rowOff>2520</xdr:rowOff>
    </xdr:to>
    <xdr:graphicFrame>
      <xdr:nvGraphicFramePr>
        <xdr:cNvPr id="1" name="Chart 2"/>
        <xdr:cNvGraphicFramePr/>
      </xdr:nvGraphicFramePr>
      <xdr:xfrm>
        <a:off x="550368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8</xdr:col>
      <xdr:colOff>507600</xdr:colOff>
      <xdr:row>33</xdr:row>
      <xdr:rowOff>2880</xdr:rowOff>
    </xdr:to>
    <xdr:graphicFrame>
      <xdr:nvGraphicFramePr>
        <xdr:cNvPr id="2" name="Chart 3"/>
        <xdr:cNvGraphicFramePr/>
      </xdr:nvGraphicFramePr>
      <xdr:xfrm>
        <a:off x="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17</xdr:col>
      <xdr:colOff>507600</xdr:colOff>
      <xdr:row>33</xdr:row>
      <xdr:rowOff>2880</xdr:rowOff>
    </xdr:to>
    <xdr:graphicFrame>
      <xdr:nvGraphicFramePr>
        <xdr:cNvPr id="3" name="Chart 4"/>
        <xdr:cNvGraphicFramePr/>
      </xdr:nvGraphicFramePr>
      <xdr:xfrm>
        <a:off x="55036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5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4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4" t="s">
        <v>8</v>
      </c>
    </row>
    <row r="12" customFormat="false" ht="23.8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3" t="s">
        <v>12</v>
      </c>
    </row>
    <row r="17" customFormat="false" ht="23.85" hidden="false" customHeight="false" outlineLevel="0" collapsed="false">
      <c r="B17" s="6" t="s">
        <v>13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14</v>
      </c>
    </row>
    <row r="20" customFormat="false" ht="23.85" hidden="false" customHeight="false" outlineLevel="0" collapsed="false">
      <c r="B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2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3" customFormat="false" ht="15" hidden="false" customHeight="false" outlineLevel="0" collapsed="false">
      <c r="A3" s="7" t="s">
        <v>18</v>
      </c>
      <c r="B3" s="7" t="s">
        <v>19</v>
      </c>
      <c r="C3" s="7" t="s">
        <v>20</v>
      </c>
      <c r="D3" s="7" t="s">
        <v>21</v>
      </c>
    </row>
    <row r="4" customFormat="false" ht="15" hidden="false" customHeight="false" outlineLevel="0" collapsed="false">
      <c r="A4" s="8" t="s">
        <v>22</v>
      </c>
      <c r="B4" s="9"/>
      <c r="C4" s="9"/>
      <c r="D4" s="9"/>
    </row>
    <row r="5" customFormat="false" ht="15" hidden="false" customHeight="false" outlineLevel="0" collapsed="false">
      <c r="A5" s="10" t="s">
        <v>23</v>
      </c>
      <c r="B5" s="11" t="n">
        <v>225000</v>
      </c>
      <c r="C5" s="10" t="s">
        <v>24</v>
      </c>
      <c r="D5" s="12" t="s">
        <v>25</v>
      </c>
    </row>
    <row r="6" customFormat="false" ht="15" hidden="false" customHeight="false" outlineLevel="0" collapsed="false">
      <c r="A6" s="10" t="s">
        <v>26</v>
      </c>
      <c r="B6" s="13" t="n">
        <v>0.1</v>
      </c>
      <c r="C6" s="10" t="s">
        <v>27</v>
      </c>
      <c r="D6" s="12" t="s">
        <v>28</v>
      </c>
    </row>
    <row r="7" customFormat="false" ht="15" hidden="false" customHeight="false" outlineLevel="0" collapsed="false">
      <c r="A7" s="10" t="s">
        <v>29</v>
      </c>
      <c r="B7" s="14" t="n">
        <v>5</v>
      </c>
      <c r="C7" s="10" t="s">
        <v>30</v>
      </c>
      <c r="D7" s="12" t="s">
        <v>25</v>
      </c>
    </row>
    <row r="8" customFormat="false" ht="15" hidden="false" customHeight="false" outlineLevel="0" collapsed="false">
      <c r="A8" s="10" t="s">
        <v>31</v>
      </c>
      <c r="B8" s="14" t="n">
        <v>2026</v>
      </c>
      <c r="C8" s="10" t="s">
        <v>32</v>
      </c>
      <c r="D8" s="12" t="s">
        <v>33</v>
      </c>
    </row>
    <row r="9" customFormat="false" ht="15" hidden="false" customHeight="false" outlineLevel="0" collapsed="false">
      <c r="A9" s="10" t="s">
        <v>34</v>
      </c>
      <c r="B9" s="15" t="n">
        <v>2</v>
      </c>
      <c r="C9" s="10" t="s">
        <v>35</v>
      </c>
      <c r="D9" s="12" t="s">
        <v>36</v>
      </c>
    </row>
    <row r="10" customFormat="false" ht="15" hidden="false" customHeight="false" outlineLevel="0" collapsed="false">
      <c r="A10" s="10" t="s">
        <v>37</v>
      </c>
      <c r="B10" s="14" t="n">
        <v>30</v>
      </c>
      <c r="C10" s="10" t="s">
        <v>38</v>
      </c>
      <c r="D10" s="12" t="s">
        <v>39</v>
      </c>
    </row>
    <row r="11" customFormat="false" ht="15" hidden="false" customHeight="false" outlineLevel="0" collapsed="false">
      <c r="A11" s="8" t="s">
        <v>40</v>
      </c>
      <c r="B11" s="9"/>
      <c r="C11" s="9"/>
      <c r="D11" s="9"/>
    </row>
    <row r="12" customFormat="false" ht="15" hidden="false" customHeight="false" outlineLevel="0" collapsed="false">
      <c r="A12" s="10" t="s">
        <v>41</v>
      </c>
      <c r="B12" s="11" t="n">
        <v>50</v>
      </c>
      <c r="C12" s="10" t="s">
        <v>35</v>
      </c>
      <c r="D12" s="12" t="s">
        <v>25</v>
      </c>
    </row>
    <row r="13" customFormat="false" ht="15" hidden="false" customHeight="false" outlineLevel="0" collapsed="false">
      <c r="A13" s="10" t="s">
        <v>42</v>
      </c>
      <c r="B13" s="16" t="n">
        <v>0.35</v>
      </c>
      <c r="C13" s="10" t="s">
        <v>43</v>
      </c>
      <c r="D13" s="12" t="s">
        <v>44</v>
      </c>
    </row>
    <row r="14" customFormat="false" ht="15" hidden="false" customHeight="false" outlineLevel="0" collapsed="false">
      <c r="A14" s="10" t="s">
        <v>45</v>
      </c>
      <c r="B14" s="17" t="n">
        <v>8</v>
      </c>
      <c r="C14" s="10" t="s">
        <v>46</v>
      </c>
      <c r="D14" s="12" t="s">
        <v>47</v>
      </c>
    </row>
    <row r="15" customFormat="false" ht="15" hidden="false" customHeight="false" outlineLevel="0" collapsed="false">
      <c r="A15" s="10" t="s">
        <v>48</v>
      </c>
      <c r="B15" s="15" t="n">
        <v>1.2</v>
      </c>
      <c r="C15" s="10" t="s">
        <v>49</v>
      </c>
      <c r="D15" s="12" t="s">
        <v>50</v>
      </c>
    </row>
    <row r="16" customFormat="false" ht="15" hidden="false" customHeight="false" outlineLevel="0" collapsed="false">
      <c r="A16" s="10" t="s">
        <v>51</v>
      </c>
      <c r="B16" s="11" t="n">
        <v>8192</v>
      </c>
      <c r="C16" s="10" t="s">
        <v>52</v>
      </c>
      <c r="D16" s="12" t="s">
        <v>53</v>
      </c>
    </row>
    <row r="17" customFormat="false" ht="15" hidden="false" customHeight="false" outlineLevel="0" collapsed="false">
      <c r="A17" s="10" t="s">
        <v>54</v>
      </c>
      <c r="B17" s="14" t="n">
        <v>24</v>
      </c>
      <c r="C17" s="10" t="s">
        <v>52</v>
      </c>
      <c r="D17" s="12" t="s">
        <v>55</v>
      </c>
    </row>
    <row r="18" customFormat="false" ht="15" hidden="false" customHeight="false" outlineLevel="0" collapsed="false">
      <c r="A18" s="10" t="s">
        <v>56</v>
      </c>
      <c r="B18" s="14" t="n">
        <v>16</v>
      </c>
      <c r="C18" s="10" t="s">
        <v>52</v>
      </c>
      <c r="D18" s="12" t="s">
        <v>57</v>
      </c>
    </row>
    <row r="19" customFormat="false" ht="15" hidden="false" customHeight="false" outlineLevel="0" collapsed="false">
      <c r="A19" s="10" t="s">
        <v>58</v>
      </c>
      <c r="B19" s="16" t="n">
        <v>0.9</v>
      </c>
      <c r="C19" s="10" t="s">
        <v>43</v>
      </c>
      <c r="D19" s="12" t="s">
        <v>59</v>
      </c>
    </row>
    <row r="20" customFormat="false" ht="15" hidden="false" customHeight="false" outlineLevel="0" collapsed="false">
      <c r="A20" s="8" t="s">
        <v>60</v>
      </c>
      <c r="B20" s="9"/>
      <c r="C20" s="9"/>
      <c r="D20" s="9"/>
    </row>
    <row r="21" customFormat="false" ht="15" hidden="false" customHeight="false" outlineLevel="0" collapsed="false">
      <c r="A21" s="10" t="s">
        <v>61</v>
      </c>
      <c r="B21" s="11" t="n">
        <v>192</v>
      </c>
      <c r="C21" s="10" t="s">
        <v>62</v>
      </c>
      <c r="D21" s="12" t="s">
        <v>63</v>
      </c>
    </row>
    <row r="22" customFormat="false" ht="15" hidden="false" customHeight="false" outlineLevel="0" collapsed="false">
      <c r="A22" s="10" t="s">
        <v>64</v>
      </c>
      <c r="B22" s="14" t="n">
        <v>2</v>
      </c>
      <c r="C22" s="10" t="s">
        <v>46</v>
      </c>
      <c r="D22" s="12" t="s">
        <v>65</v>
      </c>
    </row>
    <row r="23" customFormat="false" ht="15" hidden="false" customHeight="false" outlineLevel="0" collapsed="false">
      <c r="A23" s="10" t="s">
        <v>66</v>
      </c>
      <c r="B23" s="14" t="n">
        <v>1</v>
      </c>
      <c r="C23" s="10" t="s">
        <v>46</v>
      </c>
      <c r="D23" s="12" t="s">
        <v>67</v>
      </c>
    </row>
    <row r="24" customFormat="false" ht="15" hidden="false" customHeight="false" outlineLevel="0" collapsed="false">
      <c r="A24" s="10" t="s">
        <v>68</v>
      </c>
      <c r="B24" s="14" t="n">
        <v>90</v>
      </c>
      <c r="C24" s="10" t="s">
        <v>69</v>
      </c>
      <c r="D24" s="12" t="s">
        <v>70</v>
      </c>
    </row>
    <row r="25" customFormat="false" ht="15" hidden="false" customHeight="false" outlineLevel="0" collapsed="false">
      <c r="A25" s="8" t="s">
        <v>71</v>
      </c>
      <c r="B25" s="9"/>
      <c r="C25" s="9"/>
      <c r="D25" s="9"/>
    </row>
    <row r="26" customFormat="false" ht="15" hidden="false" customHeight="false" outlineLevel="0" collapsed="false">
      <c r="A26" s="10" t="s">
        <v>72</v>
      </c>
      <c r="B26" s="16" t="n">
        <v>0.3</v>
      </c>
      <c r="C26" s="10" t="s">
        <v>43</v>
      </c>
      <c r="D26" s="12" t="s">
        <v>73</v>
      </c>
    </row>
    <row r="27" customFormat="false" ht="15" hidden="false" customHeight="false" outlineLevel="0" collapsed="false">
      <c r="A27" s="10" t="s">
        <v>74</v>
      </c>
      <c r="B27" s="14" t="n">
        <v>14</v>
      </c>
      <c r="C27" s="10" t="s">
        <v>75</v>
      </c>
      <c r="D27" s="12" t="s">
        <v>76</v>
      </c>
    </row>
    <row r="28" customFormat="false" ht="15" hidden="false" customHeight="false" outlineLevel="0" collapsed="false">
      <c r="A28" s="10" t="s">
        <v>77</v>
      </c>
      <c r="B28" s="16" t="n">
        <v>0.05</v>
      </c>
      <c r="C28" s="10" t="s">
        <v>78</v>
      </c>
      <c r="D28" s="12" t="s">
        <v>39</v>
      </c>
    </row>
    <row r="29" customFormat="false" ht="15" hidden="false" customHeight="false" outlineLevel="0" collapsed="false">
      <c r="A29" s="10" t="s">
        <v>79</v>
      </c>
      <c r="B29" s="14" t="n">
        <v>14</v>
      </c>
      <c r="C29" s="10" t="s">
        <v>69</v>
      </c>
      <c r="D29" s="12" t="s">
        <v>80</v>
      </c>
    </row>
    <row r="30" customFormat="false" ht="15" hidden="false" customHeight="false" outlineLevel="0" collapsed="false">
      <c r="A30" s="10" t="s">
        <v>81</v>
      </c>
      <c r="B30" s="14" t="n">
        <v>100</v>
      </c>
      <c r="C30" s="10" t="s">
        <v>82</v>
      </c>
      <c r="D30" s="12" t="s">
        <v>83</v>
      </c>
    </row>
    <row r="31" customFormat="false" ht="15" hidden="false" customHeight="false" outlineLevel="0" collapsed="false">
      <c r="A31" s="8" t="s">
        <v>84</v>
      </c>
      <c r="B31" s="9"/>
      <c r="C31" s="9"/>
      <c r="D31" s="9"/>
    </row>
    <row r="32" customFormat="false" ht="15" hidden="false" customHeight="false" outlineLevel="0" collapsed="false">
      <c r="A32" s="10" t="s">
        <v>85</v>
      </c>
      <c r="B32" s="17" t="n">
        <v>2</v>
      </c>
      <c r="C32" s="10" t="s">
        <v>49</v>
      </c>
      <c r="D32" s="12" t="s">
        <v>86</v>
      </c>
    </row>
    <row r="33" customFormat="false" ht="15" hidden="false" customHeight="false" outlineLevel="0" collapsed="false">
      <c r="A33" s="10" t="s">
        <v>87</v>
      </c>
      <c r="B33" s="14" t="n">
        <v>8</v>
      </c>
      <c r="C33" s="10" t="s">
        <v>88</v>
      </c>
      <c r="D33" s="12" t="s">
        <v>89</v>
      </c>
    </row>
    <row r="34" customFormat="false" ht="15" hidden="false" customHeight="false" outlineLevel="0" collapsed="false">
      <c r="A34" s="10" t="s">
        <v>90</v>
      </c>
      <c r="B34" s="16" t="n">
        <v>0.7</v>
      </c>
      <c r="C34" s="10" t="s">
        <v>91</v>
      </c>
      <c r="D34" s="12" t="s">
        <v>92</v>
      </c>
    </row>
    <row r="35" customFormat="false" ht="15" hidden="false" customHeight="false" outlineLevel="0" collapsed="false">
      <c r="A35" s="10" t="s">
        <v>93</v>
      </c>
      <c r="B35" s="16" t="n">
        <v>0.85</v>
      </c>
      <c r="C35" s="10" t="s">
        <v>91</v>
      </c>
      <c r="D35" s="12" t="s">
        <v>92</v>
      </c>
    </row>
    <row r="36" customFormat="false" ht="15" hidden="false" customHeight="false" outlineLevel="0" collapsed="false">
      <c r="A36" s="10" t="s">
        <v>94</v>
      </c>
      <c r="B36" s="16" t="n">
        <v>0.2</v>
      </c>
      <c r="C36" s="10" t="s">
        <v>43</v>
      </c>
      <c r="D36" s="12" t="s">
        <v>39</v>
      </c>
    </row>
    <row r="37" customFormat="false" ht="15" hidden="false" customHeight="false" outlineLevel="0" collapsed="false">
      <c r="A37" s="8" t="s">
        <v>95</v>
      </c>
      <c r="B37" s="9"/>
      <c r="C37" s="9"/>
      <c r="D37" s="9"/>
    </row>
    <row r="38" customFormat="false" ht="15" hidden="false" customHeight="false" outlineLevel="0" collapsed="false">
      <c r="A38" s="10" t="s">
        <v>96</v>
      </c>
      <c r="B38" s="18" t="n">
        <v>700</v>
      </c>
      <c r="C38" s="10" t="s">
        <v>97</v>
      </c>
      <c r="D38" s="12" t="s">
        <v>39</v>
      </c>
    </row>
    <row r="40" customFormat="false" ht="15" hidden="false" customHeight="false" outlineLevel="0" collapsed="false">
      <c r="A40" s="8" t="s">
        <v>98</v>
      </c>
      <c r="B40" s="9"/>
      <c r="C40" s="9"/>
      <c r="D40" s="9"/>
    </row>
    <row r="41" customFormat="false" ht="15" hidden="false" customHeight="false" outlineLevel="0" collapsed="false">
      <c r="A41" s="10" t="s">
        <v>99</v>
      </c>
      <c r="B41" s="19" t="n">
        <f aca="false">('Table analysis'!C5*'Table analysis'!D5+'Table analysis'!C6*'Table analysis'!D6+'Table analysis'!C7*'Table analysis'!D7+'Table analysis'!C8*'Table analysis'!D8+'Table analysis'!C9*'Table analysis'!D9)</f>
        <v>1473.89519541284</v>
      </c>
      <c r="C41" s="10" t="s">
        <v>52</v>
      </c>
      <c r="D41" s="12" t="s">
        <v>100</v>
      </c>
    </row>
    <row r="42" customFormat="false" ht="15" hidden="false" customHeight="false" outlineLevel="0" collapsed="false">
      <c r="A42" s="10" t="s">
        <v>101</v>
      </c>
      <c r="B42" s="19" t="n">
        <f aca="false">('Table analysis'!C5*'Table analysis'!E5+'Table analysis'!C6*'Table analysis'!E6+'Table analysis'!C7*'Table analysis'!E7+'Table analysis'!C8*'Table analysis'!E8+'Table analysis'!C9*'Table analysis'!E9)</f>
        <v>781.326180351107</v>
      </c>
      <c r="C42" s="10" t="s">
        <v>52</v>
      </c>
      <c r="D42" s="12" t="s">
        <v>100</v>
      </c>
    </row>
    <row r="43" customFormat="false" ht="15" hidden="false" customHeight="false" outlineLevel="0" collapsed="false">
      <c r="A43" s="10" t="s">
        <v>102</v>
      </c>
      <c r="B43" s="19" t="n">
        <f aca="false">('Table analysis'!F11+'Table analysis'!F12+'Table analysis'!F13+'Table analysis'!F14+'Table analysis'!F15+'Table analysis'!F16)</f>
        <v>1347.22393025077</v>
      </c>
      <c r="C43" s="10" t="s">
        <v>52</v>
      </c>
      <c r="D43" s="1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true" outlineLevel="0" max="15" min="15" style="0" width="13"/>
  </cols>
  <sheetData>
    <row r="1" customFormat="false" ht="17.35" hidden="false" customHeight="false" outlineLevel="0" collapsed="false">
      <c r="A1" s="1" t="s">
        <v>103</v>
      </c>
    </row>
    <row r="2" customFormat="false" ht="30" hidden="false" customHeight="true" outlineLevel="0" collapsed="false">
      <c r="A2" s="20" t="s">
        <v>104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customFormat="false" ht="15" hidden="false" customHeight="false" outlineLevel="0" collapsed="false">
      <c r="A4" s="8" t="s">
        <v>105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42" hidden="false" customHeight="true" outlineLevel="0" collapsed="false">
      <c r="A5" s="7" t="s">
        <v>106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  <c r="H5" s="7" t="s">
        <v>113</v>
      </c>
      <c r="I5" s="7" t="s">
        <v>114</v>
      </c>
      <c r="J5" s="7" t="s">
        <v>115</v>
      </c>
      <c r="K5" s="7" t="s">
        <v>116</v>
      </c>
      <c r="L5" s="7" t="s">
        <v>117</v>
      </c>
      <c r="M5" s="7" t="s">
        <v>118</v>
      </c>
      <c r="N5" s="7" t="s">
        <v>119</v>
      </c>
    </row>
    <row r="6" customFormat="false" ht="30" hidden="false" customHeight="true" outlineLevel="0" collapsed="false">
      <c r="A6" s="21" t="s">
        <v>120</v>
      </c>
      <c r="C6" s="21" t="s">
        <v>121</v>
      </c>
      <c r="D6" s="12" t="s">
        <v>122</v>
      </c>
      <c r="H6" s="12" t="s">
        <v>123</v>
      </c>
      <c r="N6" s="22" t="n">
        <f aca="false">ROUNDUP((23+IF(COUNTIF(J7:J18,"Y")&gt;0,ROUNDUP(12/8,0),0))/8,0)*8</f>
        <v>24</v>
      </c>
    </row>
    <row r="7" customFormat="false" ht="15" hidden="false" customHeight="false" outlineLevel="0" collapsed="false">
      <c r="A7" s="10" t="s">
        <v>120</v>
      </c>
      <c r="B7" s="23" t="n">
        <v>1</v>
      </c>
      <c r="C7" s="21" t="s">
        <v>124</v>
      </c>
      <c r="D7" s="10" t="s">
        <v>125</v>
      </c>
      <c r="E7" s="23" t="s">
        <v>126</v>
      </c>
      <c r="F7" s="23" t="n">
        <v>8</v>
      </c>
      <c r="G7" s="23" t="n">
        <v>8</v>
      </c>
      <c r="H7" s="12" t="s">
        <v>127</v>
      </c>
      <c r="I7" s="23" t="s">
        <v>128</v>
      </c>
      <c r="J7" s="24" t="s">
        <v>129</v>
      </c>
      <c r="K7" s="25" t="n">
        <f aca="false">IF(J7="Y",1,IF(E7="fixed",F7,IF(I7+1&lt;=127,1,F7)))</f>
        <v>8</v>
      </c>
      <c r="L7" s="25" t="n">
        <f aca="false">N6</f>
        <v>24</v>
      </c>
      <c r="M7" s="25" t="n">
        <f aca="false">IF(J7="Y",0,MOD(K7-MOD(L7,K7),K7))</f>
        <v>0</v>
      </c>
      <c r="N7" s="25" t="n">
        <f aca="false">L7+M7+IF(J7="Y",0,IF(E7="fixed",G7,IF(I7+1&lt;=127,I7+1,I7+4)))</f>
        <v>32</v>
      </c>
      <c r="O7" s="25" t="n">
        <f aca="false">IF(J7="Y",0,IF(E7="fixed",G7,IF(I7+1&lt;=127,I7+1,I7+4)))</f>
        <v>8</v>
      </c>
    </row>
    <row r="8" customFormat="false" ht="15" hidden="false" customHeight="false" outlineLevel="0" collapsed="false">
      <c r="A8" s="10" t="s">
        <v>120</v>
      </c>
      <c r="B8" s="23" t="n">
        <v>2</v>
      </c>
      <c r="C8" s="21" t="s">
        <v>130</v>
      </c>
      <c r="D8" s="10" t="s">
        <v>131</v>
      </c>
      <c r="E8" s="23" t="s">
        <v>132</v>
      </c>
      <c r="F8" s="23" t="n">
        <v>4</v>
      </c>
      <c r="G8" s="23" t="s">
        <v>128</v>
      </c>
      <c r="H8" s="12" t="s">
        <v>133</v>
      </c>
      <c r="I8" s="26" t="n">
        <v>36</v>
      </c>
      <c r="J8" s="24" t="s">
        <v>129</v>
      </c>
      <c r="K8" s="25" t="n">
        <f aca="false">IF(J8="Y",1,IF(E8="fixed",F8,IF(I8+1&lt;=127,1,F8)))</f>
        <v>1</v>
      </c>
      <c r="L8" s="25" t="n">
        <f aca="false">N7</f>
        <v>32</v>
      </c>
      <c r="M8" s="25" t="n">
        <f aca="false">IF(J8="Y",0,MOD(K8-MOD(L8,K8),K8))</f>
        <v>0</v>
      </c>
      <c r="N8" s="25" t="n">
        <f aca="false">L8+M8+IF(J8="Y",0,IF(E8="fixed",G8,IF(I8+1&lt;=127,I8+1,I8+4)))</f>
        <v>69</v>
      </c>
      <c r="O8" s="25" t="n">
        <f aca="false">IF(J8="Y",0,IF(E8="fixed",G8,IF(I8+1&lt;=127,I8+1,I8+4)))</f>
        <v>37</v>
      </c>
    </row>
    <row r="9" customFormat="false" ht="15" hidden="false" customHeight="false" outlineLevel="0" collapsed="false">
      <c r="A9" s="10" t="s">
        <v>120</v>
      </c>
      <c r="B9" s="23" t="n">
        <v>3</v>
      </c>
      <c r="C9" s="21" t="s">
        <v>134</v>
      </c>
      <c r="D9" s="10" t="s">
        <v>135</v>
      </c>
      <c r="E9" s="23" t="s">
        <v>132</v>
      </c>
      <c r="F9" s="23" t="n">
        <v>4</v>
      </c>
      <c r="G9" s="23" t="s">
        <v>128</v>
      </c>
      <c r="H9" s="12" t="s">
        <v>136</v>
      </c>
      <c r="I9" s="26" t="n">
        <v>80</v>
      </c>
      <c r="J9" s="24" t="s">
        <v>129</v>
      </c>
      <c r="K9" s="25" t="n">
        <f aca="false">IF(J9="Y",1,IF(E9="fixed",F9,IF(I9+1&lt;=127,1,F9)))</f>
        <v>1</v>
      </c>
      <c r="L9" s="25" t="n">
        <f aca="false">N8</f>
        <v>69</v>
      </c>
      <c r="M9" s="25" t="n">
        <f aca="false">IF(J9="Y",0,MOD(K9-MOD(L9,K9),K9))</f>
        <v>0</v>
      </c>
      <c r="N9" s="25" t="n">
        <f aca="false">L9+M9+IF(J9="Y",0,IF(E9="fixed",G9,IF(I9+1&lt;=127,I9+1,I9+4)))</f>
        <v>150</v>
      </c>
      <c r="O9" s="25" t="n">
        <f aca="false">IF(J9="Y",0,IF(E9="fixed",G9,IF(I9+1&lt;=127,I9+1,I9+4)))</f>
        <v>81</v>
      </c>
    </row>
    <row r="10" customFormat="false" ht="15" hidden="false" customHeight="false" outlineLevel="0" collapsed="false">
      <c r="A10" s="10" t="s">
        <v>120</v>
      </c>
      <c r="B10" s="23" t="n">
        <v>4</v>
      </c>
      <c r="C10" s="21" t="s">
        <v>137</v>
      </c>
      <c r="D10" s="10" t="s">
        <v>138</v>
      </c>
      <c r="E10" s="23" t="s">
        <v>126</v>
      </c>
      <c r="F10" s="23" t="n">
        <v>4</v>
      </c>
      <c r="G10" s="23" t="n">
        <v>4</v>
      </c>
      <c r="H10" s="12" t="s">
        <v>139</v>
      </c>
      <c r="I10" s="23" t="s">
        <v>128</v>
      </c>
      <c r="J10" s="24" t="s">
        <v>129</v>
      </c>
      <c r="K10" s="25" t="n">
        <f aca="false">IF(J10="Y",1,IF(E10="fixed",F10,IF(I10+1&lt;=127,1,F10)))</f>
        <v>4</v>
      </c>
      <c r="L10" s="25" t="n">
        <f aca="false">N9</f>
        <v>150</v>
      </c>
      <c r="M10" s="25" t="n">
        <f aca="false">IF(J10="Y",0,MOD(K10-MOD(L10,K10),K10))</f>
        <v>2</v>
      </c>
      <c r="N10" s="25" t="n">
        <f aca="false">L10+M10+IF(J10="Y",0,IF(E10="fixed",G10,IF(I10+1&lt;=127,I10+1,I10+4)))</f>
        <v>156</v>
      </c>
      <c r="O10" s="25" t="n">
        <f aca="false">IF(J10="Y",0,IF(E10="fixed",G10,IF(I10+1&lt;=127,I10+1,I10+4)))</f>
        <v>4</v>
      </c>
    </row>
    <row r="11" customFormat="false" ht="15" hidden="false" customHeight="false" outlineLevel="0" collapsed="false">
      <c r="A11" s="10" t="s">
        <v>120</v>
      </c>
      <c r="B11" s="23" t="n">
        <v>5</v>
      </c>
      <c r="C11" s="21" t="s">
        <v>140</v>
      </c>
      <c r="D11" s="10" t="s">
        <v>141</v>
      </c>
      <c r="E11" s="23" t="s">
        <v>126</v>
      </c>
      <c r="F11" s="23" t="n">
        <v>8</v>
      </c>
      <c r="G11" s="23" t="n">
        <v>8</v>
      </c>
      <c r="H11" s="12" t="s">
        <v>142</v>
      </c>
      <c r="I11" s="23" t="s">
        <v>128</v>
      </c>
      <c r="J11" s="24" t="s">
        <v>129</v>
      </c>
      <c r="K11" s="25" t="n">
        <f aca="false">IF(J11="Y",1,IF(E11="fixed",F11,IF(I11+1&lt;=127,1,F11)))</f>
        <v>8</v>
      </c>
      <c r="L11" s="25" t="n">
        <f aca="false">N10</f>
        <v>156</v>
      </c>
      <c r="M11" s="25" t="n">
        <f aca="false">IF(J11="Y",0,MOD(K11-MOD(L11,K11),K11))</f>
        <v>4</v>
      </c>
      <c r="N11" s="25" t="n">
        <f aca="false">L11+M11+IF(J11="Y",0,IF(E11="fixed",G11,IF(I11+1&lt;=127,I11+1,I11+4)))</f>
        <v>168</v>
      </c>
      <c r="O11" s="25" t="n">
        <f aca="false">IF(J11="Y",0,IF(E11="fixed",G11,IF(I11+1&lt;=127,I11+1,I11+4)))</f>
        <v>8</v>
      </c>
    </row>
    <row r="12" customFormat="false" ht="15" hidden="false" customHeight="false" outlineLevel="0" collapsed="false">
      <c r="A12" s="10" t="s">
        <v>120</v>
      </c>
      <c r="B12" s="23" t="n">
        <v>6</v>
      </c>
      <c r="C12" s="21" t="s">
        <v>143</v>
      </c>
      <c r="D12" s="10" t="s">
        <v>144</v>
      </c>
      <c r="E12" s="23" t="s">
        <v>132</v>
      </c>
      <c r="F12" s="23" t="n">
        <v>4</v>
      </c>
      <c r="G12" s="23" t="s">
        <v>128</v>
      </c>
      <c r="H12" s="12" t="s">
        <v>145</v>
      </c>
      <c r="I12" s="26" t="n">
        <v>3</v>
      </c>
      <c r="J12" s="24" t="s">
        <v>129</v>
      </c>
      <c r="K12" s="25" t="n">
        <f aca="false">IF(J12="Y",1,IF(E12="fixed",F12,IF(I12+1&lt;=127,1,F12)))</f>
        <v>1</v>
      </c>
      <c r="L12" s="25" t="n">
        <f aca="false">N11</f>
        <v>168</v>
      </c>
      <c r="M12" s="25" t="n">
        <f aca="false">IF(J12="Y",0,MOD(K12-MOD(L12,K12),K12))</f>
        <v>0</v>
      </c>
      <c r="N12" s="25" t="n">
        <f aca="false">L12+M12+IF(J12="Y",0,IF(E12="fixed",G12,IF(I12+1&lt;=127,I12+1,I12+4)))</f>
        <v>172</v>
      </c>
      <c r="O12" s="25" t="n">
        <f aca="false">IF(J12="Y",0,IF(E12="fixed",G12,IF(I12+1&lt;=127,I12+1,I12+4)))</f>
        <v>4</v>
      </c>
    </row>
    <row r="13" customFormat="false" ht="15" hidden="false" customHeight="false" outlineLevel="0" collapsed="false">
      <c r="A13" s="10" t="s">
        <v>120</v>
      </c>
      <c r="B13" s="23" t="n">
        <v>7</v>
      </c>
      <c r="C13" s="21" t="s">
        <v>146</v>
      </c>
      <c r="D13" s="10" t="s">
        <v>135</v>
      </c>
      <c r="E13" s="23" t="s">
        <v>132</v>
      </c>
      <c r="F13" s="23" t="n">
        <v>4</v>
      </c>
      <c r="G13" s="23" t="s">
        <v>128</v>
      </c>
      <c r="H13" s="12" t="s">
        <v>147</v>
      </c>
      <c r="I13" s="26" t="n">
        <v>40</v>
      </c>
      <c r="J13" s="24" t="s">
        <v>129</v>
      </c>
      <c r="K13" s="25" t="n">
        <f aca="false">IF(J13="Y",1,IF(E13="fixed",F13,IF(I13+1&lt;=127,1,F13)))</f>
        <v>1</v>
      </c>
      <c r="L13" s="25" t="n">
        <f aca="false">N12</f>
        <v>172</v>
      </c>
      <c r="M13" s="25" t="n">
        <f aca="false">IF(J13="Y",0,MOD(K13-MOD(L13,K13),K13))</f>
        <v>0</v>
      </c>
      <c r="N13" s="25" t="n">
        <f aca="false">L13+M13+IF(J13="Y",0,IF(E13="fixed",G13,IF(I13+1&lt;=127,I13+1,I13+4)))</f>
        <v>213</v>
      </c>
      <c r="O13" s="25" t="n">
        <f aca="false">IF(J13="Y",0,IF(E13="fixed",G13,IF(I13+1&lt;=127,I13+1,I13+4)))</f>
        <v>41</v>
      </c>
    </row>
    <row r="14" customFormat="false" ht="15" hidden="false" customHeight="false" outlineLevel="0" collapsed="false">
      <c r="A14" s="10" t="s">
        <v>120</v>
      </c>
      <c r="B14" s="23" t="n">
        <v>8</v>
      </c>
      <c r="C14" s="21" t="s">
        <v>148</v>
      </c>
      <c r="D14" s="10" t="s">
        <v>149</v>
      </c>
      <c r="E14" s="23" t="s">
        <v>126</v>
      </c>
      <c r="F14" s="23" t="n">
        <v>4</v>
      </c>
      <c r="G14" s="23" t="n">
        <v>4</v>
      </c>
      <c r="H14" s="12" t="s">
        <v>139</v>
      </c>
      <c r="I14" s="23" t="s">
        <v>128</v>
      </c>
      <c r="J14" s="24" t="s">
        <v>129</v>
      </c>
      <c r="K14" s="25" t="n">
        <f aca="false">IF(J14="Y",1,IF(E14="fixed",F14,IF(I14+1&lt;=127,1,F14)))</f>
        <v>4</v>
      </c>
      <c r="L14" s="25" t="n">
        <f aca="false">N13</f>
        <v>213</v>
      </c>
      <c r="M14" s="25" t="n">
        <f aca="false">IF(J14="Y",0,MOD(K14-MOD(L14,K14),K14))</f>
        <v>3</v>
      </c>
      <c r="N14" s="25" t="n">
        <f aca="false">L14+M14+IF(J14="Y",0,IF(E14="fixed",G14,IF(I14+1&lt;=127,I14+1,I14+4)))</f>
        <v>220</v>
      </c>
      <c r="O14" s="25" t="n">
        <f aca="false">IF(J14="Y",0,IF(E14="fixed",G14,IF(I14+1&lt;=127,I14+1,I14+4)))</f>
        <v>4</v>
      </c>
    </row>
    <row r="15" customFormat="false" ht="15" hidden="false" customHeight="false" outlineLevel="0" collapsed="false">
      <c r="A15" s="10" t="s">
        <v>120</v>
      </c>
      <c r="B15" s="23" t="n">
        <v>9</v>
      </c>
      <c r="C15" s="21" t="s">
        <v>150</v>
      </c>
      <c r="D15" s="10" t="s">
        <v>125</v>
      </c>
      <c r="E15" s="23" t="s">
        <v>126</v>
      </c>
      <c r="F15" s="23" t="n">
        <v>8</v>
      </c>
      <c r="G15" s="23" t="n">
        <v>8</v>
      </c>
      <c r="H15" s="12" t="s">
        <v>151</v>
      </c>
      <c r="I15" s="23" t="s">
        <v>128</v>
      </c>
      <c r="J15" s="24" t="s">
        <v>129</v>
      </c>
      <c r="K15" s="25" t="n">
        <f aca="false">IF(J15="Y",1,IF(E15="fixed",F15,IF(I15+1&lt;=127,1,F15)))</f>
        <v>8</v>
      </c>
      <c r="L15" s="25" t="n">
        <f aca="false">N14</f>
        <v>220</v>
      </c>
      <c r="M15" s="25" t="n">
        <f aca="false">IF(J15="Y",0,MOD(K15-MOD(L15,K15),K15))</f>
        <v>4</v>
      </c>
      <c r="N15" s="25" t="n">
        <f aca="false">L15+M15+IF(J15="Y",0,IF(E15="fixed",G15,IF(I15+1&lt;=127,I15+1,I15+4)))</f>
        <v>232</v>
      </c>
      <c r="O15" s="25" t="n">
        <f aca="false">IF(J15="Y",0,IF(E15="fixed",G15,IF(I15+1&lt;=127,I15+1,I15+4)))</f>
        <v>8</v>
      </c>
    </row>
    <row r="16" customFormat="false" ht="15" hidden="false" customHeight="false" outlineLevel="0" collapsed="false">
      <c r="A16" s="10" t="s">
        <v>120</v>
      </c>
      <c r="B16" s="23" t="n">
        <v>10</v>
      </c>
      <c r="C16" s="21" t="s">
        <v>152</v>
      </c>
      <c r="D16" s="10" t="s">
        <v>125</v>
      </c>
      <c r="E16" s="23" t="s">
        <v>126</v>
      </c>
      <c r="F16" s="23" t="n">
        <v>8</v>
      </c>
      <c r="G16" s="23" t="n">
        <v>8</v>
      </c>
      <c r="H16" s="12" t="s">
        <v>153</v>
      </c>
      <c r="I16" s="23" t="s">
        <v>128</v>
      </c>
      <c r="J16" s="24" t="s">
        <v>129</v>
      </c>
      <c r="K16" s="25" t="n">
        <f aca="false">IF(J16="Y",1,IF(E16="fixed",F16,IF(I16+1&lt;=127,1,F16)))</f>
        <v>8</v>
      </c>
      <c r="L16" s="25" t="n">
        <f aca="false">N15</f>
        <v>232</v>
      </c>
      <c r="M16" s="25" t="n">
        <f aca="false">IF(J16="Y",0,MOD(K16-MOD(L16,K16),K16))</f>
        <v>0</v>
      </c>
      <c r="N16" s="25" t="n">
        <f aca="false">L16+M16+IF(J16="Y",0,IF(E16="fixed",G16,IF(I16+1&lt;=127,I16+1,I16+4)))</f>
        <v>240</v>
      </c>
      <c r="O16" s="25" t="n">
        <f aca="false">IF(J16="Y",0,IF(E16="fixed",G16,IF(I16+1&lt;=127,I16+1,I16+4)))</f>
        <v>8</v>
      </c>
    </row>
    <row r="17" customFormat="false" ht="15" hidden="false" customHeight="false" outlineLevel="0" collapsed="false">
      <c r="A17" s="10" t="s">
        <v>120</v>
      </c>
      <c r="B17" s="23" t="n">
        <v>11</v>
      </c>
      <c r="C17" s="21" t="s">
        <v>154</v>
      </c>
      <c r="D17" s="10" t="s">
        <v>125</v>
      </c>
      <c r="E17" s="23" t="s">
        <v>126</v>
      </c>
      <c r="F17" s="23" t="n">
        <v>8</v>
      </c>
      <c r="G17" s="23" t="n">
        <v>8</v>
      </c>
      <c r="H17" s="12" t="s">
        <v>155</v>
      </c>
      <c r="I17" s="23" t="s">
        <v>128</v>
      </c>
      <c r="J17" s="24" t="s">
        <v>129</v>
      </c>
      <c r="K17" s="25" t="n">
        <f aca="false">IF(J17="Y",1,IF(E17="fixed",F17,IF(I17+1&lt;=127,1,F17)))</f>
        <v>8</v>
      </c>
      <c r="L17" s="25" t="n">
        <f aca="false">N16</f>
        <v>240</v>
      </c>
      <c r="M17" s="25" t="n">
        <f aca="false">IF(J17="Y",0,MOD(K17-MOD(L17,K17),K17))</f>
        <v>0</v>
      </c>
      <c r="N17" s="25" t="n">
        <f aca="false">L17+M17+IF(J17="Y",0,IF(E17="fixed",G17,IF(I17+1&lt;=127,I17+1,I17+4)))</f>
        <v>248</v>
      </c>
      <c r="O17" s="25" t="n">
        <f aca="false">IF(J17="Y",0,IF(E17="fixed",G17,IF(I17+1&lt;=127,I17+1,I17+4)))</f>
        <v>8</v>
      </c>
    </row>
    <row r="18" customFormat="false" ht="15" hidden="false" customHeight="false" outlineLevel="0" collapsed="false">
      <c r="A18" s="10" t="s">
        <v>120</v>
      </c>
      <c r="B18" s="23" t="n">
        <v>12</v>
      </c>
      <c r="C18" s="21" t="s">
        <v>156</v>
      </c>
      <c r="D18" s="10" t="s">
        <v>131</v>
      </c>
      <c r="E18" s="23" t="s">
        <v>132</v>
      </c>
      <c r="F18" s="23" t="n">
        <v>4</v>
      </c>
      <c r="G18" s="23" t="s">
        <v>128</v>
      </c>
      <c r="H18" s="12" t="s">
        <v>157</v>
      </c>
      <c r="I18" s="26" t="n">
        <v>8</v>
      </c>
      <c r="J18" s="24" t="s">
        <v>129</v>
      </c>
      <c r="K18" s="25" t="n">
        <f aca="false">IF(J18="Y",1,IF(E18="fixed",F18,IF(I18+1&lt;=127,1,F18)))</f>
        <v>1</v>
      </c>
      <c r="L18" s="25" t="n">
        <f aca="false">N17</f>
        <v>248</v>
      </c>
      <c r="M18" s="25" t="n">
        <f aca="false">IF(J18="Y",0,MOD(K18-MOD(L18,K18),K18))</f>
        <v>0</v>
      </c>
      <c r="N18" s="25" t="n">
        <f aca="false">L18+M18+IF(J18="Y",0,IF(E18="fixed",G18,IF(I18+1&lt;=127,I18+1,I18+4)))</f>
        <v>257</v>
      </c>
      <c r="O18" s="25" t="n">
        <f aca="false">IF(J18="Y",0,IF(E18="fixed",G18,IF(I18+1&lt;=127,I18+1,I18+4)))</f>
        <v>9</v>
      </c>
    </row>
    <row r="19" customFormat="false" ht="15" hidden="false" customHeight="false" outlineLevel="0" collapsed="false">
      <c r="C19" s="10" t="s">
        <v>158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25" t="n">
        <f aca="false">SUM(O7:O18)</f>
        <v>220</v>
      </c>
    </row>
    <row r="20" customFormat="false" ht="15" hidden="false" customHeight="false" outlineLevel="0" collapsed="false">
      <c r="C20" s="10" t="s">
        <v>159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25" t="n">
        <f aca="false">SUM(M7:M18)</f>
        <v>13</v>
      </c>
    </row>
    <row r="21" customFormat="false" ht="15" hidden="false" customHeight="false" outlineLevel="0" collapsed="false">
      <c r="C21" s="10" t="s">
        <v>160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25" t="n">
        <f aca="false">N18</f>
        <v>257</v>
      </c>
    </row>
    <row r="22" customFormat="false" ht="15" hidden="false" customHeight="false" outlineLevel="0" collapsed="false">
      <c r="C22" s="10" t="s">
        <v>161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5" t="n">
        <f aca="false">ROUNDUP(N18/8,0)*8</f>
        <v>264</v>
      </c>
    </row>
    <row r="23" customFormat="false" ht="15" hidden="false" customHeight="false" outlineLevel="0" collapsed="false">
      <c r="C23" s="10" t="s">
        <v>162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5" t="n">
        <f aca="false">N22+4</f>
        <v>268</v>
      </c>
    </row>
    <row r="24" customFormat="false" ht="15" hidden="false" customHeight="false" outlineLevel="0" collapsed="false">
      <c r="C24" s="10" t="s">
        <v>163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25" t="n">
        <f aca="false">INT((Assumptions!$B$16-Assumptions!$B$17)/N23)</f>
        <v>30</v>
      </c>
    </row>
    <row r="25" customFormat="false" ht="15" hidden="false" customHeight="false" outlineLevel="0" collapsed="false">
      <c r="C25" s="21" t="s">
        <v>164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7" t="n">
        <f aca="false">Assumptions!$B$16/N24</f>
        <v>273.066666666667</v>
      </c>
    </row>
    <row r="28" customFormat="false" ht="15" hidden="false" customHeight="false" outlineLevel="0" collapsed="false">
      <c r="A28" s="8" t="s">
        <v>165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42" hidden="false" customHeight="true" outlineLevel="0" collapsed="false">
      <c r="A29" s="7" t="s">
        <v>106</v>
      </c>
      <c r="B29" s="7" t="s">
        <v>107</v>
      </c>
      <c r="C29" s="7" t="s">
        <v>108</v>
      </c>
      <c r="D29" s="7" t="s">
        <v>109</v>
      </c>
      <c r="E29" s="7" t="s">
        <v>110</v>
      </c>
      <c r="F29" s="7" t="s">
        <v>111</v>
      </c>
      <c r="G29" s="7" t="s">
        <v>112</v>
      </c>
      <c r="H29" s="7" t="s">
        <v>113</v>
      </c>
      <c r="I29" s="7" t="s">
        <v>114</v>
      </c>
      <c r="J29" s="7" t="s">
        <v>115</v>
      </c>
      <c r="K29" s="7" t="s">
        <v>116</v>
      </c>
      <c r="L29" s="7" t="s">
        <v>117</v>
      </c>
      <c r="M29" s="7" t="s">
        <v>118</v>
      </c>
      <c r="N29" s="7" t="s">
        <v>119</v>
      </c>
    </row>
    <row r="30" customFormat="false" ht="30" hidden="false" customHeight="true" outlineLevel="0" collapsed="false">
      <c r="A30" s="21" t="s">
        <v>166</v>
      </c>
      <c r="C30" s="21" t="s">
        <v>121</v>
      </c>
      <c r="D30" s="12" t="s">
        <v>167</v>
      </c>
      <c r="H30" s="12" t="s">
        <v>123</v>
      </c>
      <c r="N30" s="22" t="n">
        <f aca="false">ROUNDUP((23+IF(COUNTIF(J31:J36,"Y")&gt;0,ROUNDUP(6/8,0),0))/8,0)*8</f>
        <v>24</v>
      </c>
    </row>
    <row r="31" customFormat="false" ht="15" hidden="false" customHeight="false" outlineLevel="0" collapsed="false">
      <c r="A31" s="10" t="s">
        <v>166</v>
      </c>
      <c r="B31" s="23" t="n">
        <v>1</v>
      </c>
      <c r="C31" s="21" t="s">
        <v>124</v>
      </c>
      <c r="D31" s="10" t="s">
        <v>125</v>
      </c>
      <c r="E31" s="23" t="s">
        <v>126</v>
      </c>
      <c r="F31" s="23" t="n">
        <v>8</v>
      </c>
      <c r="G31" s="23" t="n">
        <v>8</v>
      </c>
      <c r="H31" s="12" t="s">
        <v>168</v>
      </c>
      <c r="I31" s="23" t="s">
        <v>128</v>
      </c>
      <c r="J31" s="24" t="s">
        <v>129</v>
      </c>
      <c r="K31" s="25" t="n">
        <f aca="false">IF(J31="Y",1,IF(E31="fixed",F31,IF(I31+1&lt;=127,1,F31)))</f>
        <v>8</v>
      </c>
      <c r="L31" s="25" t="n">
        <f aca="false">N30</f>
        <v>24</v>
      </c>
      <c r="M31" s="25" t="n">
        <f aca="false">IF(J31="Y",0,MOD(K31-MOD(L31,K31),K31))</f>
        <v>0</v>
      </c>
      <c r="N31" s="25" t="n">
        <f aca="false">L31+M31+IF(J31="Y",0,IF(E31="fixed",G31,IF(I31+1&lt;=127,I31+1,I31+4)))</f>
        <v>32</v>
      </c>
      <c r="O31" s="25" t="n">
        <f aca="false">IF(J31="Y",0,IF(E31="fixed",G31,IF(I31+1&lt;=127,I31+1,I31+4)))</f>
        <v>8</v>
      </c>
    </row>
    <row r="32" customFormat="false" ht="15" hidden="false" customHeight="false" outlineLevel="0" collapsed="false">
      <c r="A32" s="10" t="s">
        <v>166</v>
      </c>
      <c r="B32" s="23" t="n">
        <v>2</v>
      </c>
      <c r="C32" s="21" t="s">
        <v>169</v>
      </c>
      <c r="D32" s="10" t="s">
        <v>125</v>
      </c>
      <c r="E32" s="23" t="s">
        <v>126</v>
      </c>
      <c r="F32" s="23" t="n">
        <v>8</v>
      </c>
      <c r="G32" s="23" t="n">
        <v>8</v>
      </c>
      <c r="H32" s="12" t="s">
        <v>170</v>
      </c>
      <c r="I32" s="23" t="s">
        <v>128</v>
      </c>
      <c r="J32" s="24" t="s">
        <v>129</v>
      </c>
      <c r="K32" s="25" t="n">
        <f aca="false">IF(J32="Y",1,IF(E32="fixed",F32,IF(I32+1&lt;=127,1,F32)))</f>
        <v>8</v>
      </c>
      <c r="L32" s="25" t="n">
        <f aca="false">N31</f>
        <v>32</v>
      </c>
      <c r="M32" s="25" t="n">
        <f aca="false">IF(J32="Y",0,MOD(K32-MOD(L32,K32),K32))</f>
        <v>0</v>
      </c>
      <c r="N32" s="25" t="n">
        <f aca="false">L32+M32+IF(J32="Y",0,IF(E32="fixed",G32,IF(I32+1&lt;=127,I32+1,I32+4)))</f>
        <v>40</v>
      </c>
      <c r="O32" s="25" t="n">
        <f aca="false">IF(J32="Y",0,IF(E32="fixed",G32,IF(I32+1&lt;=127,I32+1,I32+4)))</f>
        <v>8</v>
      </c>
    </row>
    <row r="33" customFormat="false" ht="15" hidden="false" customHeight="false" outlineLevel="0" collapsed="false">
      <c r="A33" s="10" t="s">
        <v>166</v>
      </c>
      <c r="B33" s="23" t="n">
        <v>3</v>
      </c>
      <c r="C33" s="21" t="s">
        <v>171</v>
      </c>
      <c r="D33" s="10" t="s">
        <v>138</v>
      </c>
      <c r="E33" s="23" t="s">
        <v>126</v>
      </c>
      <c r="F33" s="23" t="n">
        <v>4</v>
      </c>
      <c r="G33" s="23" t="n">
        <v>4</v>
      </c>
      <c r="H33" s="12" t="s">
        <v>139</v>
      </c>
      <c r="I33" s="23" t="s">
        <v>128</v>
      </c>
      <c r="J33" s="24" t="s">
        <v>129</v>
      </c>
      <c r="K33" s="25" t="n">
        <f aca="false">IF(J33="Y",1,IF(E33="fixed",F33,IF(I33+1&lt;=127,1,F33)))</f>
        <v>4</v>
      </c>
      <c r="L33" s="25" t="n">
        <f aca="false">N32</f>
        <v>40</v>
      </c>
      <c r="M33" s="25" t="n">
        <f aca="false">IF(J33="Y",0,MOD(K33-MOD(L33,K33),K33))</f>
        <v>0</v>
      </c>
      <c r="N33" s="25" t="n">
        <f aca="false">L33+M33+IF(J33="Y",0,IF(E33="fixed",G33,IF(I33+1&lt;=127,I33+1,I33+4)))</f>
        <v>44</v>
      </c>
      <c r="O33" s="25" t="n">
        <f aca="false">IF(J33="Y",0,IF(E33="fixed",G33,IF(I33+1&lt;=127,I33+1,I33+4)))</f>
        <v>4</v>
      </c>
    </row>
    <row r="34" customFormat="false" ht="15" hidden="false" customHeight="false" outlineLevel="0" collapsed="false">
      <c r="A34" s="10" t="s">
        <v>166</v>
      </c>
      <c r="B34" s="23" t="n">
        <v>4</v>
      </c>
      <c r="C34" s="21" t="s">
        <v>172</v>
      </c>
      <c r="D34" s="10" t="s">
        <v>141</v>
      </c>
      <c r="E34" s="23" t="s">
        <v>126</v>
      </c>
      <c r="F34" s="23" t="n">
        <v>8</v>
      </c>
      <c r="G34" s="23" t="n">
        <v>8</v>
      </c>
      <c r="H34" s="12" t="s">
        <v>173</v>
      </c>
      <c r="I34" s="23" t="s">
        <v>128</v>
      </c>
      <c r="J34" s="24" t="s">
        <v>129</v>
      </c>
      <c r="K34" s="25" t="n">
        <f aca="false">IF(J34="Y",1,IF(E34="fixed",F34,IF(I34+1&lt;=127,1,F34)))</f>
        <v>8</v>
      </c>
      <c r="L34" s="25" t="n">
        <f aca="false">N33</f>
        <v>44</v>
      </c>
      <c r="M34" s="25" t="n">
        <f aca="false">IF(J34="Y",0,MOD(K34-MOD(L34,K34),K34))</f>
        <v>4</v>
      </c>
      <c r="N34" s="25" t="n">
        <f aca="false">L34+M34+IF(J34="Y",0,IF(E34="fixed",G34,IF(I34+1&lt;=127,I34+1,I34+4)))</f>
        <v>56</v>
      </c>
      <c r="O34" s="25" t="n">
        <f aca="false">IF(J34="Y",0,IF(E34="fixed",G34,IF(I34+1&lt;=127,I34+1,I34+4)))</f>
        <v>8</v>
      </c>
    </row>
    <row r="35" customFormat="false" ht="15" hidden="false" customHeight="false" outlineLevel="0" collapsed="false">
      <c r="A35" s="10" t="s">
        <v>166</v>
      </c>
      <c r="B35" s="23" t="n">
        <v>5</v>
      </c>
      <c r="C35" s="21" t="s">
        <v>174</v>
      </c>
      <c r="D35" s="10" t="s">
        <v>175</v>
      </c>
      <c r="E35" s="23" t="s">
        <v>132</v>
      </c>
      <c r="F35" s="23" t="n">
        <v>4</v>
      </c>
      <c r="G35" s="23" t="s">
        <v>128</v>
      </c>
      <c r="H35" s="12" t="s">
        <v>176</v>
      </c>
      <c r="I35" s="26" t="n">
        <v>17</v>
      </c>
      <c r="J35" s="24" t="s">
        <v>129</v>
      </c>
      <c r="K35" s="25" t="n">
        <f aca="false">IF(J35="Y",1,IF(E35="fixed",F35,IF(I35+1&lt;=127,1,F35)))</f>
        <v>1</v>
      </c>
      <c r="L35" s="25" t="n">
        <f aca="false">N34</f>
        <v>56</v>
      </c>
      <c r="M35" s="25" t="n">
        <f aca="false">IF(J35="Y",0,MOD(K35-MOD(L35,K35),K35))</f>
        <v>0</v>
      </c>
      <c r="N35" s="25" t="n">
        <f aca="false">L35+M35+IF(J35="Y",0,IF(E35="fixed",G35,IF(I35+1&lt;=127,I35+1,I35+4)))</f>
        <v>74</v>
      </c>
      <c r="O35" s="25" t="n">
        <f aca="false">IF(J35="Y",0,IF(E35="fixed",G35,IF(I35+1&lt;=127,I35+1,I35+4)))</f>
        <v>18</v>
      </c>
    </row>
    <row r="36" customFormat="false" ht="15" hidden="false" customHeight="false" outlineLevel="0" collapsed="false">
      <c r="A36" s="10" t="s">
        <v>166</v>
      </c>
      <c r="B36" s="23" t="n">
        <v>6</v>
      </c>
      <c r="C36" s="21" t="s">
        <v>177</v>
      </c>
      <c r="D36" s="10" t="s">
        <v>149</v>
      </c>
      <c r="E36" s="23" t="s">
        <v>126</v>
      </c>
      <c r="F36" s="23" t="n">
        <v>4</v>
      </c>
      <c r="G36" s="23" t="n">
        <v>4</v>
      </c>
      <c r="H36" s="12" t="s">
        <v>139</v>
      </c>
      <c r="I36" s="23" t="s">
        <v>128</v>
      </c>
      <c r="J36" s="24" t="s">
        <v>129</v>
      </c>
      <c r="K36" s="25" t="n">
        <f aca="false">IF(J36="Y",1,IF(E36="fixed",F36,IF(I36+1&lt;=127,1,F36)))</f>
        <v>4</v>
      </c>
      <c r="L36" s="25" t="n">
        <f aca="false">N35</f>
        <v>74</v>
      </c>
      <c r="M36" s="25" t="n">
        <f aca="false">IF(J36="Y",0,MOD(K36-MOD(L36,K36),K36))</f>
        <v>2</v>
      </c>
      <c r="N36" s="25" t="n">
        <f aca="false">L36+M36+IF(J36="Y",0,IF(E36="fixed",G36,IF(I36+1&lt;=127,I36+1,I36+4)))</f>
        <v>80</v>
      </c>
      <c r="O36" s="25" t="n">
        <f aca="false">IF(J36="Y",0,IF(E36="fixed",G36,IF(I36+1&lt;=127,I36+1,I36+4)))</f>
        <v>4</v>
      </c>
    </row>
    <row r="37" customFormat="false" ht="15" hidden="false" customHeight="false" outlineLevel="0" collapsed="false">
      <c r="C37" s="10" t="s">
        <v>158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5" t="n">
        <f aca="false">SUM(O31:O36)</f>
        <v>50</v>
      </c>
    </row>
    <row r="38" customFormat="false" ht="15" hidden="false" customHeight="false" outlineLevel="0" collapsed="false">
      <c r="C38" s="10" t="s">
        <v>159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25" t="n">
        <f aca="false">SUM(M31:M36)</f>
        <v>6</v>
      </c>
    </row>
    <row r="39" customFormat="false" ht="15" hidden="false" customHeight="false" outlineLevel="0" collapsed="false">
      <c r="C39" s="10" t="s">
        <v>160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25" t="n">
        <f aca="false">N36</f>
        <v>80</v>
      </c>
    </row>
    <row r="40" customFormat="false" ht="15" hidden="false" customHeight="false" outlineLevel="0" collapsed="false">
      <c r="C40" s="10" t="s">
        <v>161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25" t="n">
        <f aca="false">ROUNDUP(N36/8,0)*8</f>
        <v>80</v>
      </c>
    </row>
    <row r="41" customFormat="false" ht="15" hidden="false" customHeight="false" outlineLevel="0" collapsed="false">
      <c r="C41" s="10" t="s">
        <v>162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25" t="n">
        <f aca="false">N40+4</f>
        <v>84</v>
      </c>
    </row>
    <row r="42" customFormat="false" ht="15" hidden="false" customHeight="false" outlineLevel="0" collapsed="false">
      <c r="C42" s="10" t="s">
        <v>163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25" t="n">
        <f aca="false">INT((Assumptions!$B$16-Assumptions!$B$17)/N41)</f>
        <v>97</v>
      </c>
    </row>
    <row r="43" customFormat="false" ht="15" hidden="false" customHeight="false" outlineLevel="0" collapsed="false">
      <c r="C43" s="21" t="s">
        <v>164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7" t="n">
        <f aca="false">Assumptions!$B$16/N42</f>
        <v>84.4536082474227</v>
      </c>
    </row>
    <row r="46" customFormat="false" ht="15" hidden="false" customHeight="false" outlineLevel="0" collapsed="false">
      <c r="A46" s="8" t="s">
        <v>178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customFormat="false" ht="42" hidden="false" customHeight="true" outlineLevel="0" collapsed="false">
      <c r="A47" s="7" t="s">
        <v>106</v>
      </c>
      <c r="B47" s="7" t="s">
        <v>107</v>
      </c>
      <c r="C47" s="7" t="s">
        <v>108</v>
      </c>
      <c r="D47" s="7" t="s">
        <v>109</v>
      </c>
      <c r="E47" s="7" t="s">
        <v>110</v>
      </c>
      <c r="F47" s="7" t="s">
        <v>111</v>
      </c>
      <c r="G47" s="7" t="s">
        <v>112</v>
      </c>
      <c r="H47" s="7" t="s">
        <v>113</v>
      </c>
      <c r="I47" s="7" t="s">
        <v>114</v>
      </c>
      <c r="J47" s="7" t="s">
        <v>115</v>
      </c>
      <c r="K47" s="7" t="s">
        <v>116</v>
      </c>
      <c r="L47" s="7" t="s">
        <v>117</v>
      </c>
      <c r="M47" s="7" t="s">
        <v>118</v>
      </c>
      <c r="N47" s="7" t="s">
        <v>119</v>
      </c>
    </row>
    <row r="48" customFormat="false" ht="30" hidden="false" customHeight="true" outlineLevel="0" collapsed="false">
      <c r="A48" s="21" t="s">
        <v>179</v>
      </c>
      <c r="C48" s="21" t="s">
        <v>121</v>
      </c>
      <c r="D48" s="12" t="s">
        <v>167</v>
      </c>
      <c r="H48" s="12" t="s">
        <v>123</v>
      </c>
      <c r="N48" s="22" t="n">
        <f aca="false">ROUNDUP((23+IF(COUNTIF(J49:J54,"Y")&gt;0,ROUNDUP(6/8,0),0))/8,0)*8</f>
        <v>24</v>
      </c>
    </row>
    <row r="49" customFormat="false" ht="15" hidden="false" customHeight="false" outlineLevel="0" collapsed="false">
      <c r="A49" s="10" t="s">
        <v>179</v>
      </c>
      <c r="B49" s="23" t="n">
        <v>1</v>
      </c>
      <c r="C49" s="21" t="s">
        <v>124</v>
      </c>
      <c r="D49" s="10" t="s">
        <v>125</v>
      </c>
      <c r="E49" s="23" t="s">
        <v>126</v>
      </c>
      <c r="F49" s="23" t="n">
        <v>8</v>
      </c>
      <c r="G49" s="23" t="n">
        <v>8</v>
      </c>
      <c r="H49" s="12" t="s">
        <v>168</v>
      </c>
      <c r="I49" s="23" t="s">
        <v>128</v>
      </c>
      <c r="J49" s="24" t="s">
        <v>129</v>
      </c>
      <c r="K49" s="25" t="n">
        <f aca="false">IF(J49="Y",1,IF(E49="fixed",F49,IF(I49+1&lt;=127,1,F49)))</f>
        <v>8</v>
      </c>
      <c r="L49" s="25" t="n">
        <f aca="false">N48</f>
        <v>24</v>
      </c>
      <c r="M49" s="25" t="n">
        <f aca="false">IF(J49="Y",0,MOD(K49-MOD(L49,K49),K49))</f>
        <v>0</v>
      </c>
      <c r="N49" s="25" t="n">
        <f aca="false">L49+M49+IF(J49="Y",0,IF(E49="fixed",G49,IF(I49+1&lt;=127,I49+1,I49+4)))</f>
        <v>32</v>
      </c>
      <c r="O49" s="25" t="n">
        <f aca="false">IF(J49="Y",0,IF(E49="fixed",G49,IF(I49+1&lt;=127,I49+1,I49+4)))</f>
        <v>8</v>
      </c>
    </row>
    <row r="50" customFormat="false" ht="15" hidden="false" customHeight="false" outlineLevel="0" collapsed="false">
      <c r="A50" s="10" t="s">
        <v>179</v>
      </c>
      <c r="B50" s="23" t="n">
        <v>2</v>
      </c>
      <c r="C50" s="21" t="s">
        <v>180</v>
      </c>
      <c r="D50" s="10" t="s">
        <v>181</v>
      </c>
      <c r="E50" s="23" t="s">
        <v>132</v>
      </c>
      <c r="F50" s="23" t="n">
        <v>4</v>
      </c>
      <c r="G50" s="23" t="s">
        <v>128</v>
      </c>
      <c r="H50" s="12" t="s">
        <v>182</v>
      </c>
      <c r="I50" s="26" t="n">
        <v>12</v>
      </c>
      <c r="J50" s="24" t="s">
        <v>129</v>
      </c>
      <c r="K50" s="25" t="n">
        <f aca="false">IF(J50="Y",1,IF(E50="fixed",F50,IF(I50+1&lt;=127,1,F50)))</f>
        <v>1</v>
      </c>
      <c r="L50" s="25" t="n">
        <f aca="false">N49</f>
        <v>32</v>
      </c>
      <c r="M50" s="25" t="n">
        <f aca="false">IF(J50="Y",0,MOD(K50-MOD(L50,K50),K50))</f>
        <v>0</v>
      </c>
      <c r="N50" s="25" t="n">
        <f aca="false">L50+M50+IF(J50="Y",0,IF(E50="fixed",G50,IF(I50+1&lt;=127,I50+1,I50+4)))</f>
        <v>45</v>
      </c>
      <c r="O50" s="25" t="n">
        <f aca="false">IF(J50="Y",0,IF(E50="fixed",G50,IF(I50+1&lt;=127,I50+1,I50+4)))</f>
        <v>13</v>
      </c>
    </row>
    <row r="51" customFormat="false" ht="15" hidden="false" customHeight="false" outlineLevel="0" collapsed="false">
      <c r="A51" s="10" t="s">
        <v>179</v>
      </c>
      <c r="B51" s="23" t="n">
        <v>3</v>
      </c>
      <c r="C51" s="21" t="s">
        <v>183</v>
      </c>
      <c r="D51" s="10" t="s">
        <v>184</v>
      </c>
      <c r="E51" s="23" t="s">
        <v>132</v>
      </c>
      <c r="F51" s="23" t="n">
        <v>4</v>
      </c>
      <c r="G51" s="23" t="s">
        <v>128</v>
      </c>
      <c r="H51" s="12" t="s">
        <v>185</v>
      </c>
      <c r="I51" s="26" t="n">
        <v>12</v>
      </c>
      <c r="J51" s="24" t="s">
        <v>129</v>
      </c>
      <c r="K51" s="25" t="n">
        <f aca="false">IF(J51="Y",1,IF(E51="fixed",F51,IF(I51+1&lt;=127,1,F51)))</f>
        <v>1</v>
      </c>
      <c r="L51" s="25" t="n">
        <f aca="false">N50</f>
        <v>45</v>
      </c>
      <c r="M51" s="25" t="n">
        <f aca="false">IF(J51="Y",0,MOD(K51-MOD(L51,K51),K51))</f>
        <v>0</v>
      </c>
      <c r="N51" s="25" t="n">
        <f aca="false">L51+M51+IF(J51="Y",0,IF(E51="fixed",G51,IF(I51+1&lt;=127,I51+1,I51+4)))</f>
        <v>58</v>
      </c>
      <c r="O51" s="25" t="n">
        <f aca="false">IF(J51="Y",0,IF(E51="fixed",G51,IF(I51+1&lt;=127,I51+1,I51+4)))</f>
        <v>13</v>
      </c>
    </row>
    <row r="52" customFormat="false" ht="15" hidden="false" customHeight="false" outlineLevel="0" collapsed="false">
      <c r="A52" s="10" t="s">
        <v>179</v>
      </c>
      <c r="B52" s="23" t="n">
        <v>4</v>
      </c>
      <c r="C52" s="21" t="s">
        <v>186</v>
      </c>
      <c r="D52" s="10" t="s">
        <v>187</v>
      </c>
      <c r="E52" s="23" t="s">
        <v>132</v>
      </c>
      <c r="F52" s="23" t="n">
        <v>4</v>
      </c>
      <c r="G52" s="23" t="s">
        <v>128</v>
      </c>
      <c r="H52" s="12" t="s">
        <v>188</v>
      </c>
      <c r="I52" s="26" t="n">
        <v>3</v>
      </c>
      <c r="J52" s="24" t="s">
        <v>129</v>
      </c>
      <c r="K52" s="25" t="n">
        <f aca="false">IF(J52="Y",1,IF(E52="fixed",F52,IF(I52+1&lt;=127,1,F52)))</f>
        <v>1</v>
      </c>
      <c r="L52" s="25" t="n">
        <f aca="false">N51</f>
        <v>58</v>
      </c>
      <c r="M52" s="25" t="n">
        <f aca="false">IF(J52="Y",0,MOD(K52-MOD(L52,K52),K52))</f>
        <v>0</v>
      </c>
      <c r="N52" s="25" t="n">
        <f aca="false">L52+M52+IF(J52="Y",0,IF(E52="fixed",G52,IF(I52+1&lt;=127,I52+1,I52+4)))</f>
        <v>62</v>
      </c>
      <c r="O52" s="25" t="n">
        <f aca="false">IF(J52="Y",0,IF(E52="fixed",G52,IF(I52+1&lt;=127,I52+1,I52+4)))</f>
        <v>4</v>
      </c>
    </row>
    <row r="53" customFormat="false" ht="15" hidden="false" customHeight="false" outlineLevel="0" collapsed="false">
      <c r="A53" s="10" t="s">
        <v>179</v>
      </c>
      <c r="B53" s="23" t="n">
        <v>5</v>
      </c>
      <c r="C53" s="21" t="s">
        <v>189</v>
      </c>
      <c r="D53" s="10" t="s">
        <v>190</v>
      </c>
      <c r="E53" s="23" t="s">
        <v>126</v>
      </c>
      <c r="F53" s="23" t="n">
        <v>8</v>
      </c>
      <c r="G53" s="23" t="n">
        <v>8</v>
      </c>
      <c r="H53" s="12" t="s">
        <v>191</v>
      </c>
      <c r="I53" s="23" t="s">
        <v>128</v>
      </c>
      <c r="J53" s="24" t="s">
        <v>129</v>
      </c>
      <c r="K53" s="25" t="n">
        <f aca="false">IF(J53="Y",1,IF(E53="fixed",F53,IF(I53+1&lt;=127,1,F53)))</f>
        <v>8</v>
      </c>
      <c r="L53" s="25" t="n">
        <f aca="false">N52</f>
        <v>62</v>
      </c>
      <c r="M53" s="25" t="n">
        <f aca="false">IF(J53="Y",0,MOD(K53-MOD(L53,K53),K53))</f>
        <v>2</v>
      </c>
      <c r="N53" s="25" t="n">
        <f aca="false">L53+M53+IF(J53="Y",0,IF(E53="fixed",G53,IF(I53+1&lt;=127,I53+1,I53+4)))</f>
        <v>72</v>
      </c>
      <c r="O53" s="25" t="n">
        <f aca="false">IF(J53="Y",0,IF(E53="fixed",G53,IF(I53+1&lt;=127,I53+1,I53+4)))</f>
        <v>8</v>
      </c>
    </row>
    <row r="54" customFormat="false" ht="15" hidden="false" customHeight="false" outlineLevel="0" collapsed="false">
      <c r="A54" s="10" t="s">
        <v>179</v>
      </c>
      <c r="B54" s="23" t="n">
        <v>6</v>
      </c>
      <c r="C54" s="21" t="s">
        <v>192</v>
      </c>
      <c r="D54" s="10" t="s">
        <v>125</v>
      </c>
      <c r="E54" s="23" t="s">
        <v>126</v>
      </c>
      <c r="F54" s="23" t="n">
        <v>8</v>
      </c>
      <c r="G54" s="23" t="n">
        <v>8</v>
      </c>
      <c r="H54" s="12" t="s">
        <v>193</v>
      </c>
      <c r="I54" s="23" t="s">
        <v>128</v>
      </c>
      <c r="J54" s="24" t="s">
        <v>129</v>
      </c>
      <c r="K54" s="25" t="n">
        <f aca="false">IF(J54="Y",1,IF(E54="fixed",F54,IF(I54+1&lt;=127,1,F54)))</f>
        <v>8</v>
      </c>
      <c r="L54" s="25" t="n">
        <f aca="false">N53</f>
        <v>72</v>
      </c>
      <c r="M54" s="25" t="n">
        <f aca="false">IF(J54="Y",0,MOD(K54-MOD(L54,K54),K54))</f>
        <v>0</v>
      </c>
      <c r="N54" s="25" t="n">
        <f aca="false">L54+M54+IF(J54="Y",0,IF(E54="fixed",G54,IF(I54+1&lt;=127,I54+1,I54+4)))</f>
        <v>80</v>
      </c>
      <c r="O54" s="25" t="n">
        <f aca="false">IF(J54="Y",0,IF(E54="fixed",G54,IF(I54+1&lt;=127,I54+1,I54+4)))</f>
        <v>8</v>
      </c>
    </row>
    <row r="55" customFormat="false" ht="15" hidden="false" customHeight="false" outlineLevel="0" collapsed="false">
      <c r="C55" s="10" t="s">
        <v>158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25" t="n">
        <f aca="false">SUM(O49:O54)</f>
        <v>54</v>
      </c>
    </row>
    <row r="56" customFormat="false" ht="15" hidden="false" customHeight="false" outlineLevel="0" collapsed="false">
      <c r="C56" s="10" t="s">
        <v>159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25" t="n">
        <f aca="false">SUM(M49:M54)</f>
        <v>2</v>
      </c>
    </row>
    <row r="57" customFormat="false" ht="15" hidden="false" customHeight="false" outlineLevel="0" collapsed="false">
      <c r="C57" s="10" t="s">
        <v>160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25" t="n">
        <f aca="false">N54</f>
        <v>80</v>
      </c>
    </row>
    <row r="58" customFormat="false" ht="15" hidden="false" customHeight="false" outlineLevel="0" collapsed="false">
      <c r="C58" s="10" t="s">
        <v>161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25" t="n">
        <f aca="false">ROUNDUP(N54/8,0)*8</f>
        <v>80</v>
      </c>
    </row>
    <row r="59" customFormat="false" ht="15" hidden="false" customHeight="false" outlineLevel="0" collapsed="false">
      <c r="C59" s="10" t="s">
        <v>162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25" t="n">
        <f aca="false">N58+4</f>
        <v>84</v>
      </c>
    </row>
    <row r="60" customFormat="false" ht="15" hidden="false" customHeight="false" outlineLevel="0" collapsed="false">
      <c r="C60" s="10" t="s">
        <v>163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25" t="n">
        <f aca="false">INT((Assumptions!$B$16-Assumptions!$B$17)/N59)</f>
        <v>97</v>
      </c>
    </row>
    <row r="61" customFormat="false" ht="15" hidden="false" customHeight="false" outlineLevel="0" collapsed="false">
      <c r="C61" s="21" t="s">
        <v>164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7" t="n">
        <f aca="false">Assumptions!$B$16/N60</f>
        <v>84.4536082474227</v>
      </c>
    </row>
    <row r="64" customFormat="false" ht="15" hidden="false" customHeight="false" outlineLevel="0" collapsed="false">
      <c r="A64" s="8" t="s">
        <v>194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customFormat="false" ht="42" hidden="false" customHeight="true" outlineLevel="0" collapsed="false">
      <c r="A65" s="7" t="s">
        <v>106</v>
      </c>
      <c r="B65" s="7" t="s">
        <v>107</v>
      </c>
      <c r="C65" s="7" t="s">
        <v>108</v>
      </c>
      <c r="D65" s="7" t="s">
        <v>109</v>
      </c>
      <c r="E65" s="7" t="s">
        <v>110</v>
      </c>
      <c r="F65" s="7" t="s">
        <v>111</v>
      </c>
      <c r="G65" s="7" t="s">
        <v>112</v>
      </c>
      <c r="H65" s="7" t="s">
        <v>113</v>
      </c>
      <c r="I65" s="7" t="s">
        <v>114</v>
      </c>
      <c r="J65" s="7" t="s">
        <v>115</v>
      </c>
      <c r="K65" s="7" t="s">
        <v>116</v>
      </c>
      <c r="L65" s="7" t="s">
        <v>117</v>
      </c>
      <c r="M65" s="7" t="s">
        <v>118</v>
      </c>
      <c r="N65" s="7" t="s">
        <v>119</v>
      </c>
    </row>
    <row r="66" customFormat="false" ht="30" hidden="false" customHeight="true" outlineLevel="0" collapsed="false">
      <c r="A66" s="21" t="s">
        <v>195</v>
      </c>
      <c r="C66" s="21" t="s">
        <v>121</v>
      </c>
      <c r="D66" s="12" t="s">
        <v>122</v>
      </c>
      <c r="H66" s="12" t="s">
        <v>123</v>
      </c>
      <c r="N66" s="22" t="n">
        <f aca="false">ROUNDUP((23+IF(COUNTIF(J67:J78,"Y")&gt;0,ROUNDUP(12/8,0),0))/8,0)*8</f>
        <v>32</v>
      </c>
    </row>
    <row r="67" customFormat="false" ht="15" hidden="false" customHeight="false" outlineLevel="0" collapsed="false">
      <c r="A67" s="10" t="s">
        <v>195</v>
      </c>
      <c r="B67" s="23" t="n">
        <v>1</v>
      </c>
      <c r="C67" s="21" t="s">
        <v>124</v>
      </c>
      <c r="D67" s="10" t="s">
        <v>125</v>
      </c>
      <c r="E67" s="23" t="s">
        <v>126</v>
      </c>
      <c r="F67" s="23" t="n">
        <v>8</v>
      </c>
      <c r="G67" s="23" t="n">
        <v>8</v>
      </c>
      <c r="H67" s="12" t="s">
        <v>168</v>
      </c>
      <c r="I67" s="23" t="s">
        <v>128</v>
      </c>
      <c r="J67" s="24" t="s">
        <v>129</v>
      </c>
      <c r="K67" s="25" t="n">
        <f aca="false">IF(J67="Y",1,IF(E67="fixed",F67,IF(I67+1&lt;=127,1,F67)))</f>
        <v>8</v>
      </c>
      <c r="L67" s="25" t="n">
        <f aca="false">N66</f>
        <v>32</v>
      </c>
      <c r="M67" s="25" t="n">
        <f aca="false">IF(J67="Y",0,MOD(K67-MOD(L67,K67),K67))</f>
        <v>0</v>
      </c>
      <c r="N67" s="25" t="n">
        <f aca="false">L67+M67+IF(J67="Y",0,IF(E67="fixed",G67,IF(I67+1&lt;=127,I67+1,I67+4)))</f>
        <v>40</v>
      </c>
      <c r="O67" s="25" t="n">
        <f aca="false">IF(J67="Y",0,IF(E67="fixed",G67,IF(I67+1&lt;=127,I67+1,I67+4)))</f>
        <v>8</v>
      </c>
    </row>
    <row r="68" customFormat="false" ht="15" hidden="false" customHeight="false" outlineLevel="0" collapsed="false">
      <c r="A68" s="10" t="s">
        <v>195</v>
      </c>
      <c r="B68" s="23" t="n">
        <v>2</v>
      </c>
      <c r="C68" s="21" t="s">
        <v>196</v>
      </c>
      <c r="D68" s="10" t="s">
        <v>190</v>
      </c>
      <c r="E68" s="23" t="s">
        <v>126</v>
      </c>
      <c r="F68" s="23" t="n">
        <v>8</v>
      </c>
      <c r="G68" s="23" t="n">
        <v>8</v>
      </c>
      <c r="H68" s="12" t="s">
        <v>197</v>
      </c>
      <c r="I68" s="23" t="s">
        <v>128</v>
      </c>
      <c r="J68" s="24" t="s">
        <v>129</v>
      </c>
      <c r="K68" s="25" t="n">
        <f aca="false">IF(J68="Y",1,IF(E68="fixed",F68,IF(I68+1&lt;=127,1,F68)))</f>
        <v>8</v>
      </c>
      <c r="L68" s="25" t="n">
        <f aca="false">N67</f>
        <v>40</v>
      </c>
      <c r="M68" s="25" t="n">
        <f aca="false">IF(J68="Y",0,MOD(K68-MOD(L68,K68),K68))</f>
        <v>0</v>
      </c>
      <c r="N68" s="25" t="n">
        <f aca="false">L68+M68+IF(J68="Y",0,IF(E68="fixed",G68,IF(I68+1&lt;=127,I68+1,I68+4)))</f>
        <v>48</v>
      </c>
      <c r="O68" s="25" t="n">
        <f aca="false">IF(J68="Y",0,IF(E68="fixed",G68,IF(I68+1&lt;=127,I68+1,I68+4)))</f>
        <v>8</v>
      </c>
    </row>
    <row r="69" customFormat="false" ht="15" hidden="false" customHeight="false" outlineLevel="0" collapsed="false">
      <c r="A69" s="10" t="s">
        <v>195</v>
      </c>
      <c r="B69" s="23" t="n">
        <v>3</v>
      </c>
      <c r="C69" s="21" t="s">
        <v>198</v>
      </c>
      <c r="D69" s="10" t="s">
        <v>181</v>
      </c>
      <c r="E69" s="23" t="s">
        <v>132</v>
      </c>
      <c r="F69" s="23" t="n">
        <v>4</v>
      </c>
      <c r="G69" s="23" t="s">
        <v>128</v>
      </c>
      <c r="H69" s="12" t="s">
        <v>199</v>
      </c>
      <c r="I69" s="26" t="n">
        <v>100</v>
      </c>
      <c r="J69" s="24" t="s">
        <v>129</v>
      </c>
      <c r="K69" s="25" t="n">
        <f aca="false">IF(J69="Y",1,IF(E69="fixed",F69,IF(I69+1&lt;=127,1,F69)))</f>
        <v>1</v>
      </c>
      <c r="L69" s="25" t="n">
        <f aca="false">N68</f>
        <v>48</v>
      </c>
      <c r="M69" s="25" t="n">
        <f aca="false">IF(J69="Y",0,MOD(K69-MOD(L69,K69),K69))</f>
        <v>0</v>
      </c>
      <c r="N69" s="25" t="n">
        <f aca="false">L69+M69+IF(J69="Y",0,IF(E69="fixed",G69,IF(I69+1&lt;=127,I69+1,I69+4)))</f>
        <v>149</v>
      </c>
      <c r="O69" s="25" t="n">
        <f aca="false">IF(J69="Y",0,IF(E69="fixed",G69,IF(I69+1&lt;=127,I69+1,I69+4)))</f>
        <v>101</v>
      </c>
    </row>
    <row r="70" customFormat="false" ht="15" hidden="false" customHeight="false" outlineLevel="0" collapsed="false">
      <c r="A70" s="10" t="s">
        <v>195</v>
      </c>
      <c r="B70" s="23" t="n">
        <v>4</v>
      </c>
      <c r="C70" s="21" t="s">
        <v>200</v>
      </c>
      <c r="D70" s="10" t="s">
        <v>190</v>
      </c>
      <c r="E70" s="23" t="s">
        <v>126</v>
      </c>
      <c r="F70" s="23" t="n">
        <v>8</v>
      </c>
      <c r="G70" s="23" t="n">
        <v>8</v>
      </c>
      <c r="H70" s="12" t="s">
        <v>201</v>
      </c>
      <c r="I70" s="23" t="s">
        <v>128</v>
      </c>
      <c r="J70" s="24" t="s">
        <v>129</v>
      </c>
      <c r="K70" s="25" t="n">
        <f aca="false">IF(J70="Y",1,IF(E70="fixed",F70,IF(I70+1&lt;=127,1,F70)))</f>
        <v>8</v>
      </c>
      <c r="L70" s="25" t="n">
        <f aca="false">N69</f>
        <v>149</v>
      </c>
      <c r="M70" s="25" t="n">
        <f aca="false">IF(J70="Y",0,MOD(K70-MOD(L70,K70),K70))</f>
        <v>3</v>
      </c>
      <c r="N70" s="25" t="n">
        <f aca="false">L70+M70+IF(J70="Y",0,IF(E70="fixed",G70,IF(I70+1&lt;=127,I70+1,I70+4)))</f>
        <v>160</v>
      </c>
      <c r="O70" s="25" t="n">
        <f aca="false">IF(J70="Y",0,IF(E70="fixed",G70,IF(I70+1&lt;=127,I70+1,I70+4)))</f>
        <v>8</v>
      </c>
    </row>
    <row r="71" customFormat="false" ht="15" hidden="false" customHeight="false" outlineLevel="0" collapsed="false">
      <c r="A71" s="10" t="s">
        <v>195</v>
      </c>
      <c r="B71" s="23" t="n">
        <v>5</v>
      </c>
      <c r="C71" s="21" t="s">
        <v>202</v>
      </c>
      <c r="D71" s="10" t="s">
        <v>203</v>
      </c>
      <c r="E71" s="23" t="s">
        <v>132</v>
      </c>
      <c r="F71" s="23" t="n">
        <v>4</v>
      </c>
      <c r="G71" s="23" t="s">
        <v>128</v>
      </c>
      <c r="H71" s="12" t="s">
        <v>204</v>
      </c>
      <c r="I71" s="26" t="n">
        <v>20</v>
      </c>
      <c r="J71" s="24" t="s">
        <v>129</v>
      </c>
      <c r="K71" s="25" t="n">
        <f aca="false">IF(J71="Y",1,IF(E71="fixed",F71,IF(I71+1&lt;=127,1,F71)))</f>
        <v>1</v>
      </c>
      <c r="L71" s="25" t="n">
        <f aca="false">N70</f>
        <v>160</v>
      </c>
      <c r="M71" s="25" t="n">
        <f aca="false">IF(J71="Y",0,MOD(K71-MOD(L71,K71),K71))</f>
        <v>0</v>
      </c>
      <c r="N71" s="25" t="n">
        <f aca="false">L71+M71+IF(J71="Y",0,IF(E71="fixed",G71,IF(I71+1&lt;=127,I71+1,I71+4)))</f>
        <v>181</v>
      </c>
      <c r="O71" s="25" t="n">
        <f aca="false">IF(J71="Y",0,IF(E71="fixed",G71,IF(I71+1&lt;=127,I71+1,I71+4)))</f>
        <v>21</v>
      </c>
    </row>
    <row r="72" customFormat="false" ht="15" hidden="false" customHeight="false" outlineLevel="0" collapsed="false">
      <c r="A72" s="10" t="s">
        <v>195</v>
      </c>
      <c r="B72" s="23" t="n">
        <v>6</v>
      </c>
      <c r="C72" s="21" t="s">
        <v>205</v>
      </c>
      <c r="D72" s="10" t="s">
        <v>181</v>
      </c>
      <c r="E72" s="23" t="s">
        <v>132</v>
      </c>
      <c r="F72" s="23" t="n">
        <v>4</v>
      </c>
      <c r="G72" s="23" t="s">
        <v>128</v>
      </c>
      <c r="H72" s="12" t="s">
        <v>206</v>
      </c>
      <c r="I72" s="26" t="n">
        <v>15</v>
      </c>
      <c r="J72" s="24" t="s">
        <v>129</v>
      </c>
      <c r="K72" s="25" t="n">
        <f aca="false">IF(J72="Y",1,IF(E72="fixed",F72,IF(I72+1&lt;=127,1,F72)))</f>
        <v>1</v>
      </c>
      <c r="L72" s="25" t="n">
        <f aca="false">N71</f>
        <v>181</v>
      </c>
      <c r="M72" s="25" t="n">
        <f aca="false">IF(J72="Y",0,MOD(K72-MOD(L72,K72),K72))</f>
        <v>0</v>
      </c>
      <c r="N72" s="25" t="n">
        <f aca="false">L72+M72+IF(J72="Y",0,IF(E72="fixed",G72,IF(I72+1&lt;=127,I72+1,I72+4)))</f>
        <v>197</v>
      </c>
      <c r="O72" s="25" t="n">
        <f aca="false">IF(J72="Y",0,IF(E72="fixed",G72,IF(I72+1&lt;=127,I72+1,I72+4)))</f>
        <v>16</v>
      </c>
    </row>
    <row r="73" customFormat="false" ht="15" hidden="false" customHeight="false" outlineLevel="0" collapsed="false">
      <c r="A73" s="10" t="s">
        <v>195</v>
      </c>
      <c r="B73" s="23" t="n">
        <v>7</v>
      </c>
      <c r="C73" s="21" t="s">
        <v>207</v>
      </c>
      <c r="D73" s="10" t="s">
        <v>208</v>
      </c>
      <c r="E73" s="23" t="s">
        <v>132</v>
      </c>
      <c r="F73" s="23" t="n">
        <v>4</v>
      </c>
      <c r="G73" s="23" t="s">
        <v>128</v>
      </c>
      <c r="H73" s="12" t="s">
        <v>209</v>
      </c>
      <c r="I73" s="26" t="n">
        <v>7</v>
      </c>
      <c r="J73" s="24" t="s">
        <v>129</v>
      </c>
      <c r="K73" s="25" t="n">
        <f aca="false">IF(J73="Y",1,IF(E73="fixed",F73,IF(I73+1&lt;=127,1,F73)))</f>
        <v>1</v>
      </c>
      <c r="L73" s="25" t="n">
        <f aca="false">N72</f>
        <v>197</v>
      </c>
      <c r="M73" s="25" t="n">
        <f aca="false">IF(J73="Y",0,MOD(K73-MOD(L73,K73),K73))</f>
        <v>0</v>
      </c>
      <c r="N73" s="25" t="n">
        <f aca="false">L73+M73+IF(J73="Y",0,IF(E73="fixed",G73,IF(I73+1&lt;=127,I73+1,I73+4)))</f>
        <v>205</v>
      </c>
      <c r="O73" s="25" t="n">
        <f aca="false">IF(J73="Y",0,IF(E73="fixed",G73,IF(I73+1&lt;=127,I73+1,I73+4)))</f>
        <v>8</v>
      </c>
    </row>
    <row r="74" customFormat="false" ht="15" hidden="false" customHeight="false" outlineLevel="0" collapsed="false">
      <c r="A74" s="10" t="s">
        <v>195</v>
      </c>
      <c r="B74" s="23" t="n">
        <v>8</v>
      </c>
      <c r="C74" s="21" t="s">
        <v>210</v>
      </c>
      <c r="D74" s="10" t="s">
        <v>211</v>
      </c>
      <c r="E74" s="23" t="s">
        <v>132</v>
      </c>
      <c r="F74" s="23" t="n">
        <v>4</v>
      </c>
      <c r="G74" s="23" t="s">
        <v>128</v>
      </c>
      <c r="H74" s="12" t="s">
        <v>212</v>
      </c>
      <c r="I74" s="26" t="n">
        <v>17</v>
      </c>
      <c r="J74" s="24" t="s">
        <v>129</v>
      </c>
      <c r="K74" s="25" t="n">
        <f aca="false">IF(J74="Y",1,IF(E74="fixed",F74,IF(I74+1&lt;=127,1,F74)))</f>
        <v>1</v>
      </c>
      <c r="L74" s="25" t="n">
        <f aca="false">N73</f>
        <v>205</v>
      </c>
      <c r="M74" s="25" t="n">
        <f aca="false">IF(J74="Y",0,MOD(K74-MOD(L74,K74),K74))</f>
        <v>0</v>
      </c>
      <c r="N74" s="25" t="n">
        <f aca="false">L74+M74+IF(J74="Y",0,IF(E74="fixed",G74,IF(I74+1&lt;=127,I74+1,I74+4)))</f>
        <v>223</v>
      </c>
      <c r="O74" s="25" t="n">
        <f aca="false">IF(J74="Y",0,IF(E74="fixed",G74,IF(I74+1&lt;=127,I74+1,I74+4)))</f>
        <v>18</v>
      </c>
    </row>
    <row r="75" customFormat="false" ht="15" hidden="false" customHeight="false" outlineLevel="0" collapsed="false">
      <c r="A75" s="10" t="s">
        <v>195</v>
      </c>
      <c r="B75" s="23" t="n">
        <v>9</v>
      </c>
      <c r="C75" s="21" t="s">
        <v>213</v>
      </c>
      <c r="D75" s="10" t="s">
        <v>214</v>
      </c>
      <c r="E75" s="23" t="s">
        <v>126</v>
      </c>
      <c r="F75" s="23" t="n">
        <v>4</v>
      </c>
      <c r="G75" s="23" t="n">
        <v>4</v>
      </c>
      <c r="H75" s="12" t="s">
        <v>215</v>
      </c>
      <c r="I75" s="23" t="s">
        <v>128</v>
      </c>
      <c r="J75" s="24" t="s">
        <v>129</v>
      </c>
      <c r="K75" s="25" t="n">
        <f aca="false">IF(J75="Y",1,IF(E75="fixed",F75,IF(I75+1&lt;=127,1,F75)))</f>
        <v>4</v>
      </c>
      <c r="L75" s="25" t="n">
        <f aca="false">N74</f>
        <v>223</v>
      </c>
      <c r="M75" s="25" t="n">
        <f aca="false">IF(J75="Y",0,MOD(K75-MOD(L75,K75),K75))</f>
        <v>1</v>
      </c>
      <c r="N75" s="25" t="n">
        <f aca="false">L75+M75+IF(J75="Y",0,IF(E75="fixed",G75,IF(I75+1&lt;=127,I75+1,I75+4)))</f>
        <v>228</v>
      </c>
      <c r="O75" s="25" t="n">
        <f aca="false">IF(J75="Y",0,IF(E75="fixed",G75,IF(I75+1&lt;=127,I75+1,I75+4)))</f>
        <v>4</v>
      </c>
    </row>
    <row r="76" customFormat="false" ht="15" hidden="false" customHeight="false" outlineLevel="0" collapsed="false">
      <c r="A76" s="10" t="s">
        <v>195</v>
      </c>
      <c r="B76" s="23" t="n">
        <v>10</v>
      </c>
      <c r="C76" s="21" t="s">
        <v>216</v>
      </c>
      <c r="D76" s="10" t="s">
        <v>214</v>
      </c>
      <c r="E76" s="23" t="s">
        <v>126</v>
      </c>
      <c r="F76" s="23" t="n">
        <v>4</v>
      </c>
      <c r="G76" s="23" t="n">
        <v>4</v>
      </c>
      <c r="H76" s="12" t="s">
        <v>217</v>
      </c>
      <c r="I76" s="23" t="s">
        <v>128</v>
      </c>
      <c r="J76" s="24" t="s">
        <v>129</v>
      </c>
      <c r="K76" s="25" t="n">
        <f aca="false">IF(J76="Y",1,IF(E76="fixed",F76,IF(I76+1&lt;=127,1,F76)))</f>
        <v>4</v>
      </c>
      <c r="L76" s="25" t="n">
        <f aca="false">N75</f>
        <v>228</v>
      </c>
      <c r="M76" s="25" t="n">
        <f aca="false">IF(J76="Y",0,MOD(K76-MOD(L76,K76),K76))</f>
        <v>0</v>
      </c>
      <c r="N76" s="25" t="n">
        <f aca="false">L76+M76+IF(J76="Y",0,IF(E76="fixed",G76,IF(I76+1&lt;=127,I76+1,I76+4)))</f>
        <v>232</v>
      </c>
      <c r="O76" s="25" t="n">
        <f aca="false">IF(J76="Y",0,IF(E76="fixed",G76,IF(I76+1&lt;=127,I76+1,I76+4)))</f>
        <v>4</v>
      </c>
    </row>
    <row r="77" customFormat="false" ht="15" hidden="false" customHeight="false" outlineLevel="0" collapsed="false">
      <c r="A77" s="10" t="s">
        <v>195</v>
      </c>
      <c r="B77" s="23" t="n">
        <v>11</v>
      </c>
      <c r="C77" s="21" t="s">
        <v>218</v>
      </c>
      <c r="D77" s="10" t="s">
        <v>181</v>
      </c>
      <c r="E77" s="23" t="s">
        <v>132</v>
      </c>
      <c r="F77" s="23" t="n">
        <v>4</v>
      </c>
      <c r="G77" s="23" t="s">
        <v>128</v>
      </c>
      <c r="H77" s="12" t="s">
        <v>219</v>
      </c>
      <c r="I77" s="26" t="n">
        <v>0</v>
      </c>
      <c r="J77" s="24" t="s">
        <v>220</v>
      </c>
      <c r="K77" s="25" t="n">
        <f aca="false">IF(J77="Y",1,IF(E77="fixed",F77,IF(I77+1&lt;=127,1,F77)))</f>
        <v>1</v>
      </c>
      <c r="L77" s="25" t="n">
        <f aca="false">N76</f>
        <v>232</v>
      </c>
      <c r="M77" s="25" t="n">
        <f aca="false">IF(J77="Y",0,MOD(K77-MOD(L77,K77),K77))</f>
        <v>0</v>
      </c>
      <c r="N77" s="25" t="n">
        <f aca="false">L77+M77+IF(J77="Y",0,IF(E77="fixed",G77,IF(I77+1&lt;=127,I77+1,I77+4)))</f>
        <v>232</v>
      </c>
      <c r="O77" s="25" t="n">
        <f aca="false">IF(J77="Y",0,IF(E77="fixed",G77,IF(I77+1&lt;=127,I77+1,I77+4)))</f>
        <v>0</v>
      </c>
    </row>
    <row r="78" customFormat="false" ht="15" hidden="false" customHeight="false" outlineLevel="0" collapsed="false">
      <c r="A78" s="10" t="s">
        <v>195</v>
      </c>
      <c r="B78" s="23" t="n">
        <v>12</v>
      </c>
      <c r="C78" s="21" t="s">
        <v>221</v>
      </c>
      <c r="D78" s="10" t="s">
        <v>222</v>
      </c>
      <c r="E78" s="23" t="s">
        <v>132</v>
      </c>
      <c r="F78" s="23" t="n">
        <v>4</v>
      </c>
      <c r="G78" s="23" t="s">
        <v>128</v>
      </c>
      <c r="H78" s="12" t="s">
        <v>219</v>
      </c>
      <c r="I78" s="26" t="n">
        <v>0</v>
      </c>
      <c r="J78" s="24" t="s">
        <v>220</v>
      </c>
      <c r="K78" s="25" t="n">
        <f aca="false">IF(J78="Y",1,IF(E78="fixed",F78,IF(I78+1&lt;=127,1,F78)))</f>
        <v>1</v>
      </c>
      <c r="L78" s="25" t="n">
        <f aca="false">N77</f>
        <v>232</v>
      </c>
      <c r="M78" s="25" t="n">
        <f aca="false">IF(J78="Y",0,MOD(K78-MOD(L78,K78),K78))</f>
        <v>0</v>
      </c>
      <c r="N78" s="25" t="n">
        <f aca="false">L78+M78+IF(J78="Y",0,IF(E78="fixed",G78,IF(I78+1&lt;=127,I78+1,I78+4)))</f>
        <v>232</v>
      </c>
      <c r="O78" s="25" t="n">
        <f aca="false">IF(J78="Y",0,IF(E78="fixed",G78,IF(I78+1&lt;=127,I78+1,I78+4)))</f>
        <v>0</v>
      </c>
    </row>
    <row r="79" customFormat="false" ht="15" hidden="false" customHeight="false" outlineLevel="0" collapsed="false">
      <c r="C79" s="10" t="s">
        <v>158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25" t="n">
        <f aca="false">SUM(O67:O78)</f>
        <v>196</v>
      </c>
    </row>
    <row r="80" customFormat="false" ht="15" hidden="false" customHeight="false" outlineLevel="0" collapsed="false">
      <c r="C80" s="10" t="s">
        <v>159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25" t="n">
        <f aca="false">SUM(M67:M78)</f>
        <v>4</v>
      </c>
    </row>
    <row r="81" customFormat="false" ht="15" hidden="false" customHeight="false" outlineLevel="0" collapsed="false">
      <c r="C81" s="10" t="s">
        <v>160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25" t="n">
        <f aca="false">N78</f>
        <v>232</v>
      </c>
    </row>
    <row r="82" customFormat="false" ht="15" hidden="false" customHeight="false" outlineLevel="0" collapsed="false">
      <c r="C82" s="10" t="s">
        <v>161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25" t="n">
        <f aca="false">ROUNDUP(N78/8,0)*8</f>
        <v>232</v>
      </c>
    </row>
    <row r="83" customFormat="false" ht="15" hidden="false" customHeight="false" outlineLevel="0" collapsed="false">
      <c r="C83" s="10" t="s">
        <v>162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25" t="n">
        <f aca="false">N82+4</f>
        <v>236</v>
      </c>
    </row>
    <row r="84" customFormat="false" ht="15" hidden="false" customHeight="false" outlineLevel="0" collapsed="false">
      <c r="C84" s="10" t="s">
        <v>163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25" t="n">
        <f aca="false">INT((Assumptions!$B$16-Assumptions!$B$17)/N83)</f>
        <v>34</v>
      </c>
    </row>
    <row r="85" customFormat="false" ht="15" hidden="false" customHeight="false" outlineLevel="0" collapsed="false">
      <c r="C85" s="21" t="s">
        <v>164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7" t="n">
        <f aca="false">Assumptions!$B$16/N84</f>
        <v>240.941176470588</v>
      </c>
    </row>
    <row r="88" customFormat="false" ht="15" hidden="false" customHeight="false" outlineLevel="0" collapsed="false">
      <c r="A88" s="8" t="s">
        <v>223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customFormat="false" ht="42" hidden="false" customHeight="true" outlineLevel="0" collapsed="false">
      <c r="A89" s="7" t="s">
        <v>106</v>
      </c>
      <c r="B89" s="7" t="s">
        <v>107</v>
      </c>
      <c r="C89" s="7" t="s">
        <v>108</v>
      </c>
      <c r="D89" s="7" t="s">
        <v>109</v>
      </c>
      <c r="E89" s="7" t="s">
        <v>110</v>
      </c>
      <c r="F89" s="7" t="s">
        <v>111</v>
      </c>
      <c r="G89" s="7" t="s">
        <v>112</v>
      </c>
      <c r="H89" s="7" t="s">
        <v>113</v>
      </c>
      <c r="I89" s="7" t="s">
        <v>114</v>
      </c>
      <c r="J89" s="7" t="s">
        <v>115</v>
      </c>
      <c r="K89" s="7" t="s">
        <v>116</v>
      </c>
      <c r="L89" s="7" t="s">
        <v>117</v>
      </c>
      <c r="M89" s="7" t="s">
        <v>118</v>
      </c>
      <c r="N89" s="7" t="s">
        <v>119</v>
      </c>
    </row>
    <row r="90" customFormat="false" ht="30" hidden="false" customHeight="true" outlineLevel="0" collapsed="false">
      <c r="A90" s="21" t="s">
        <v>224</v>
      </c>
      <c r="C90" s="21" t="s">
        <v>121</v>
      </c>
      <c r="D90" s="12" t="s">
        <v>225</v>
      </c>
      <c r="H90" s="12" t="s">
        <v>123</v>
      </c>
      <c r="N90" s="22" t="n">
        <f aca="false">ROUNDUP((23+IF(COUNTIF(J91:J98,"Y")&gt;0,ROUNDUP(8/8,0),0))/8,0)*8</f>
        <v>24</v>
      </c>
    </row>
    <row r="91" customFormat="false" ht="15" hidden="false" customHeight="false" outlineLevel="0" collapsed="false">
      <c r="A91" s="10" t="s">
        <v>224</v>
      </c>
      <c r="B91" s="23" t="n">
        <v>1</v>
      </c>
      <c r="C91" s="21" t="s">
        <v>196</v>
      </c>
      <c r="D91" s="10" t="s">
        <v>190</v>
      </c>
      <c r="E91" s="23" t="s">
        <v>126</v>
      </c>
      <c r="F91" s="23" t="n">
        <v>8</v>
      </c>
      <c r="G91" s="23" t="n">
        <v>8</v>
      </c>
      <c r="H91" s="12" t="s">
        <v>226</v>
      </c>
      <c r="I91" s="23" t="s">
        <v>128</v>
      </c>
      <c r="J91" s="24" t="s">
        <v>129</v>
      </c>
      <c r="K91" s="25" t="n">
        <f aca="false">IF(J91="Y",1,IF(E91="fixed",F91,IF(I91+1&lt;=127,1,F91)))</f>
        <v>8</v>
      </c>
      <c r="L91" s="25" t="n">
        <f aca="false">N90</f>
        <v>24</v>
      </c>
      <c r="M91" s="25" t="n">
        <f aca="false">IF(J91="Y",0,MOD(K91-MOD(L91,K91),K91))</f>
        <v>0</v>
      </c>
      <c r="N91" s="25" t="n">
        <f aca="false">L91+M91+IF(J91="Y",0,IF(E91="fixed",G91,IF(I91+1&lt;=127,I91+1,I91+4)))</f>
        <v>32</v>
      </c>
      <c r="O91" s="25" t="n">
        <f aca="false">IF(J91="Y",0,IF(E91="fixed",G91,IF(I91+1&lt;=127,I91+1,I91+4)))</f>
        <v>8</v>
      </c>
    </row>
    <row r="92" customFormat="false" ht="15" hidden="false" customHeight="false" outlineLevel="0" collapsed="false">
      <c r="A92" s="10" t="s">
        <v>224</v>
      </c>
      <c r="B92" s="23" t="n">
        <v>2</v>
      </c>
      <c r="C92" s="21" t="s">
        <v>124</v>
      </c>
      <c r="D92" s="10" t="s">
        <v>125</v>
      </c>
      <c r="E92" s="23" t="s">
        <v>126</v>
      </c>
      <c r="F92" s="23" t="n">
        <v>8</v>
      </c>
      <c r="G92" s="23" t="n">
        <v>8</v>
      </c>
      <c r="H92" s="12" t="s">
        <v>168</v>
      </c>
      <c r="I92" s="23" t="s">
        <v>128</v>
      </c>
      <c r="J92" s="24" t="s">
        <v>129</v>
      </c>
      <c r="K92" s="25" t="n">
        <f aca="false">IF(J92="Y",1,IF(E92="fixed",F92,IF(I92+1&lt;=127,1,F92)))</f>
        <v>8</v>
      </c>
      <c r="L92" s="25" t="n">
        <f aca="false">N91</f>
        <v>32</v>
      </c>
      <c r="M92" s="25" t="n">
        <f aca="false">IF(J92="Y",0,MOD(K92-MOD(L92,K92),K92))</f>
        <v>0</v>
      </c>
      <c r="N92" s="25" t="n">
        <f aca="false">L92+M92+IF(J92="Y",0,IF(E92="fixed",G92,IF(I92+1&lt;=127,I92+1,I92+4)))</f>
        <v>40</v>
      </c>
      <c r="O92" s="25" t="n">
        <f aca="false">IF(J92="Y",0,IF(E92="fixed",G92,IF(I92+1&lt;=127,I92+1,I92+4)))</f>
        <v>8</v>
      </c>
    </row>
    <row r="93" customFormat="false" ht="15" hidden="false" customHeight="false" outlineLevel="0" collapsed="false">
      <c r="A93" s="10" t="s">
        <v>224</v>
      </c>
      <c r="B93" s="23" t="n">
        <v>3</v>
      </c>
      <c r="C93" s="21" t="s">
        <v>200</v>
      </c>
      <c r="D93" s="10" t="s">
        <v>190</v>
      </c>
      <c r="E93" s="23" t="s">
        <v>126</v>
      </c>
      <c r="F93" s="23" t="n">
        <v>8</v>
      </c>
      <c r="G93" s="23" t="n">
        <v>8</v>
      </c>
      <c r="H93" s="12" t="s">
        <v>227</v>
      </c>
      <c r="I93" s="23" t="s">
        <v>128</v>
      </c>
      <c r="J93" s="24" t="s">
        <v>129</v>
      </c>
      <c r="K93" s="25" t="n">
        <f aca="false">IF(J93="Y",1,IF(E93="fixed",F93,IF(I93+1&lt;=127,1,F93)))</f>
        <v>8</v>
      </c>
      <c r="L93" s="25" t="n">
        <f aca="false">N92</f>
        <v>40</v>
      </c>
      <c r="M93" s="25" t="n">
        <f aca="false">IF(J93="Y",0,MOD(K93-MOD(L93,K93),K93))</f>
        <v>0</v>
      </c>
      <c r="N93" s="25" t="n">
        <f aca="false">L93+M93+IF(J93="Y",0,IF(E93="fixed",G93,IF(I93+1&lt;=127,I93+1,I93+4)))</f>
        <v>48</v>
      </c>
      <c r="O93" s="25" t="n">
        <f aca="false">IF(J93="Y",0,IF(E93="fixed",G93,IF(I93+1&lt;=127,I93+1,I93+4)))</f>
        <v>8</v>
      </c>
    </row>
    <row r="94" customFormat="false" ht="15" hidden="false" customHeight="false" outlineLevel="0" collapsed="false">
      <c r="A94" s="10" t="s">
        <v>224</v>
      </c>
      <c r="B94" s="23" t="n">
        <v>4</v>
      </c>
      <c r="C94" s="21" t="s">
        <v>228</v>
      </c>
      <c r="D94" s="10" t="s">
        <v>203</v>
      </c>
      <c r="E94" s="23" t="s">
        <v>132</v>
      </c>
      <c r="F94" s="23" t="n">
        <v>4</v>
      </c>
      <c r="G94" s="23" t="s">
        <v>128</v>
      </c>
      <c r="H94" s="12" t="s">
        <v>229</v>
      </c>
      <c r="I94" s="26" t="n">
        <v>20</v>
      </c>
      <c r="J94" s="24" t="s">
        <v>129</v>
      </c>
      <c r="K94" s="25" t="n">
        <f aca="false">IF(J94="Y",1,IF(E94="fixed",F94,IF(I94+1&lt;=127,1,F94)))</f>
        <v>1</v>
      </c>
      <c r="L94" s="25" t="n">
        <f aca="false">N93</f>
        <v>48</v>
      </c>
      <c r="M94" s="25" t="n">
        <f aca="false">IF(J94="Y",0,MOD(K94-MOD(L94,K94),K94))</f>
        <v>0</v>
      </c>
      <c r="N94" s="25" t="n">
        <f aca="false">L94+M94+IF(J94="Y",0,IF(E94="fixed",G94,IF(I94+1&lt;=127,I94+1,I94+4)))</f>
        <v>69</v>
      </c>
      <c r="O94" s="25" t="n">
        <f aca="false">IF(J94="Y",0,IF(E94="fixed",G94,IF(I94+1&lt;=127,I94+1,I94+4)))</f>
        <v>21</v>
      </c>
    </row>
    <row r="95" customFormat="false" ht="15" hidden="false" customHeight="false" outlineLevel="0" collapsed="false">
      <c r="A95" s="10" t="s">
        <v>224</v>
      </c>
      <c r="B95" s="23" t="n">
        <v>5</v>
      </c>
      <c r="C95" s="21" t="s">
        <v>198</v>
      </c>
      <c r="D95" s="10" t="s">
        <v>181</v>
      </c>
      <c r="E95" s="23" t="s">
        <v>132</v>
      </c>
      <c r="F95" s="23" t="n">
        <v>4</v>
      </c>
      <c r="G95" s="23" t="s">
        <v>128</v>
      </c>
      <c r="H95" s="12" t="s">
        <v>230</v>
      </c>
      <c r="I95" s="26" t="n">
        <v>100</v>
      </c>
      <c r="J95" s="24" t="s">
        <v>129</v>
      </c>
      <c r="K95" s="25" t="n">
        <f aca="false">IF(J95="Y",1,IF(E95="fixed",F95,IF(I95+1&lt;=127,1,F95)))</f>
        <v>1</v>
      </c>
      <c r="L95" s="25" t="n">
        <f aca="false">N94</f>
        <v>69</v>
      </c>
      <c r="M95" s="25" t="n">
        <f aca="false">IF(J95="Y",0,MOD(K95-MOD(L95,K95),K95))</f>
        <v>0</v>
      </c>
      <c r="N95" s="25" t="n">
        <f aca="false">L95+M95+IF(J95="Y",0,IF(E95="fixed",G95,IF(I95+1&lt;=127,I95+1,I95+4)))</f>
        <v>170</v>
      </c>
      <c r="O95" s="25" t="n">
        <f aca="false">IF(J95="Y",0,IF(E95="fixed",G95,IF(I95+1&lt;=127,I95+1,I95+4)))</f>
        <v>101</v>
      </c>
    </row>
    <row r="96" customFormat="false" ht="15" hidden="false" customHeight="false" outlineLevel="0" collapsed="false">
      <c r="A96" s="10" t="s">
        <v>224</v>
      </c>
      <c r="B96" s="23" t="n">
        <v>6</v>
      </c>
      <c r="C96" s="21" t="s">
        <v>210</v>
      </c>
      <c r="D96" s="10" t="s">
        <v>211</v>
      </c>
      <c r="E96" s="23" t="s">
        <v>132</v>
      </c>
      <c r="F96" s="23" t="n">
        <v>4</v>
      </c>
      <c r="G96" s="23" t="s">
        <v>128</v>
      </c>
      <c r="H96" s="12" t="s">
        <v>212</v>
      </c>
      <c r="I96" s="26" t="n">
        <v>17</v>
      </c>
      <c r="J96" s="24" t="s">
        <v>129</v>
      </c>
      <c r="K96" s="25" t="n">
        <f aca="false">IF(J96="Y",1,IF(E96="fixed",F96,IF(I96+1&lt;=127,1,F96)))</f>
        <v>1</v>
      </c>
      <c r="L96" s="25" t="n">
        <f aca="false">N95</f>
        <v>170</v>
      </c>
      <c r="M96" s="25" t="n">
        <f aca="false">IF(J96="Y",0,MOD(K96-MOD(L96,K96),K96))</f>
        <v>0</v>
      </c>
      <c r="N96" s="25" t="n">
        <f aca="false">L96+M96+IF(J96="Y",0,IF(E96="fixed",G96,IF(I96+1&lt;=127,I96+1,I96+4)))</f>
        <v>188</v>
      </c>
      <c r="O96" s="25" t="n">
        <f aca="false">IF(J96="Y",0,IF(E96="fixed",G96,IF(I96+1&lt;=127,I96+1,I96+4)))</f>
        <v>18</v>
      </c>
    </row>
    <row r="97" customFormat="false" ht="15" hidden="false" customHeight="false" outlineLevel="0" collapsed="false">
      <c r="A97" s="10" t="s">
        <v>224</v>
      </c>
      <c r="B97" s="23" t="n">
        <v>7</v>
      </c>
      <c r="C97" s="21" t="s">
        <v>218</v>
      </c>
      <c r="D97" s="10" t="s">
        <v>181</v>
      </c>
      <c r="E97" s="23" t="s">
        <v>132</v>
      </c>
      <c r="F97" s="23" t="n">
        <v>4</v>
      </c>
      <c r="G97" s="23" t="s">
        <v>128</v>
      </c>
      <c r="H97" s="12" t="s">
        <v>219</v>
      </c>
      <c r="I97" s="26" t="n">
        <v>0</v>
      </c>
      <c r="J97" s="24" t="s">
        <v>220</v>
      </c>
      <c r="K97" s="25" t="n">
        <f aca="false">IF(J97="Y",1,IF(E97="fixed",F97,IF(I97+1&lt;=127,1,F97)))</f>
        <v>1</v>
      </c>
      <c r="L97" s="25" t="n">
        <f aca="false">N96</f>
        <v>188</v>
      </c>
      <c r="M97" s="25" t="n">
        <f aca="false">IF(J97="Y",0,MOD(K97-MOD(L97,K97),K97))</f>
        <v>0</v>
      </c>
      <c r="N97" s="25" t="n">
        <f aca="false">L97+M97+IF(J97="Y",0,IF(E97="fixed",G97,IF(I97+1&lt;=127,I97+1,I97+4)))</f>
        <v>188</v>
      </c>
      <c r="O97" s="25" t="n">
        <f aca="false">IF(J97="Y",0,IF(E97="fixed",G97,IF(I97+1&lt;=127,I97+1,I97+4)))</f>
        <v>0</v>
      </c>
    </row>
    <row r="98" customFormat="false" ht="15" hidden="false" customHeight="false" outlineLevel="0" collapsed="false">
      <c r="A98" s="10" t="s">
        <v>224</v>
      </c>
      <c r="B98" s="23" t="n">
        <v>8</v>
      </c>
      <c r="C98" s="21" t="s">
        <v>221</v>
      </c>
      <c r="D98" s="10" t="s">
        <v>222</v>
      </c>
      <c r="E98" s="23" t="s">
        <v>132</v>
      </c>
      <c r="F98" s="23" t="n">
        <v>4</v>
      </c>
      <c r="G98" s="23" t="s">
        <v>128</v>
      </c>
      <c r="H98" s="12" t="s">
        <v>219</v>
      </c>
      <c r="I98" s="26" t="n">
        <v>0</v>
      </c>
      <c r="J98" s="24" t="s">
        <v>220</v>
      </c>
      <c r="K98" s="25" t="n">
        <f aca="false">IF(J98="Y",1,IF(E98="fixed",F98,IF(I98+1&lt;=127,1,F98)))</f>
        <v>1</v>
      </c>
      <c r="L98" s="25" t="n">
        <f aca="false">N97</f>
        <v>188</v>
      </c>
      <c r="M98" s="25" t="n">
        <f aca="false">IF(J98="Y",0,MOD(K98-MOD(L98,K98),K98))</f>
        <v>0</v>
      </c>
      <c r="N98" s="25" t="n">
        <f aca="false">L98+M98+IF(J98="Y",0,IF(E98="fixed",G98,IF(I98+1&lt;=127,I98+1,I98+4)))</f>
        <v>188</v>
      </c>
      <c r="O98" s="25" t="n">
        <f aca="false">IF(J98="Y",0,IF(E98="fixed",G98,IF(I98+1&lt;=127,I98+1,I98+4)))</f>
        <v>0</v>
      </c>
    </row>
    <row r="99" customFormat="false" ht="15" hidden="false" customHeight="false" outlineLevel="0" collapsed="false">
      <c r="C99" s="10" t="s">
        <v>158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25" t="n">
        <f aca="false">SUM(O91:O98)</f>
        <v>164</v>
      </c>
    </row>
    <row r="100" customFormat="false" ht="15" hidden="false" customHeight="false" outlineLevel="0" collapsed="false">
      <c r="C100" s="10" t="s">
        <v>159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25" t="n">
        <f aca="false">SUM(M91:M98)</f>
        <v>0</v>
      </c>
    </row>
    <row r="101" customFormat="false" ht="15" hidden="false" customHeight="false" outlineLevel="0" collapsed="false">
      <c r="C101" s="10" t="s">
        <v>160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25" t="n">
        <f aca="false">N98</f>
        <v>188</v>
      </c>
    </row>
    <row r="102" customFormat="false" ht="15" hidden="false" customHeight="false" outlineLevel="0" collapsed="false">
      <c r="C102" s="10" t="s">
        <v>161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25" t="n">
        <f aca="false">ROUNDUP(N98/8,0)*8</f>
        <v>192</v>
      </c>
    </row>
    <row r="103" customFormat="false" ht="15" hidden="false" customHeight="false" outlineLevel="0" collapsed="false">
      <c r="C103" s="10" t="s">
        <v>162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25" t="n">
        <f aca="false">N102+4</f>
        <v>196</v>
      </c>
    </row>
    <row r="104" customFormat="false" ht="15" hidden="false" customHeight="false" outlineLevel="0" collapsed="false">
      <c r="C104" s="10" t="s">
        <v>163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25" t="n">
        <f aca="false">INT((Assumptions!$B$16-Assumptions!$B$17)/N103)</f>
        <v>41</v>
      </c>
    </row>
    <row r="105" customFormat="false" ht="15" hidden="false" customHeight="false" outlineLevel="0" collapsed="false">
      <c r="C105" s="21" t="s">
        <v>164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7" t="n">
        <f aca="false">Assumptions!$B$16/N104</f>
        <v>199.804878048781</v>
      </c>
    </row>
    <row r="108" customFormat="false" ht="15" hidden="false" customHeight="false" outlineLevel="0" collapsed="false">
      <c r="A108" s="8" t="s">
        <v>231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customFormat="false" ht="42" hidden="false" customHeight="true" outlineLevel="0" collapsed="false">
      <c r="A109" s="7" t="s">
        <v>106</v>
      </c>
      <c r="B109" s="7" t="s">
        <v>107</v>
      </c>
      <c r="C109" s="7" t="s">
        <v>108</v>
      </c>
      <c r="D109" s="7" t="s">
        <v>109</v>
      </c>
      <c r="E109" s="7" t="s">
        <v>110</v>
      </c>
      <c r="F109" s="7" t="s">
        <v>111</v>
      </c>
      <c r="G109" s="7" t="s">
        <v>112</v>
      </c>
      <c r="H109" s="7" t="s">
        <v>113</v>
      </c>
      <c r="I109" s="7" t="s">
        <v>114</v>
      </c>
      <c r="J109" s="7" t="s">
        <v>115</v>
      </c>
      <c r="K109" s="7" t="s">
        <v>116</v>
      </c>
      <c r="L109" s="7" t="s">
        <v>117</v>
      </c>
      <c r="M109" s="7" t="s">
        <v>118</v>
      </c>
      <c r="N109" s="7" t="s">
        <v>119</v>
      </c>
    </row>
    <row r="110" customFormat="false" ht="30" hidden="false" customHeight="true" outlineLevel="0" collapsed="false">
      <c r="A110" s="21" t="s">
        <v>232</v>
      </c>
      <c r="C110" s="21" t="s">
        <v>121</v>
      </c>
      <c r="D110" s="12" t="s">
        <v>233</v>
      </c>
      <c r="H110" s="12" t="s">
        <v>123</v>
      </c>
      <c r="N110" s="22" t="n">
        <f aca="false">ROUNDUP((23+IF(COUNTIF(J111:J114,"Y")&gt;0,ROUNDUP(4/8,0),0))/8,0)*8</f>
        <v>24</v>
      </c>
    </row>
    <row r="111" customFormat="false" ht="15" hidden="false" customHeight="false" outlineLevel="0" collapsed="false">
      <c r="A111" s="10" t="s">
        <v>232</v>
      </c>
      <c r="B111" s="23" t="n">
        <v>1</v>
      </c>
      <c r="C111" s="21" t="s">
        <v>234</v>
      </c>
      <c r="D111" s="10" t="s">
        <v>125</v>
      </c>
      <c r="E111" s="23" t="s">
        <v>126</v>
      </c>
      <c r="F111" s="23" t="n">
        <v>8</v>
      </c>
      <c r="G111" s="23" t="n">
        <v>8</v>
      </c>
      <c r="H111" s="12" t="s">
        <v>235</v>
      </c>
      <c r="I111" s="23" t="s">
        <v>128</v>
      </c>
      <c r="J111" s="24" t="s">
        <v>129</v>
      </c>
      <c r="K111" s="25" t="n">
        <f aca="false">IF(J111="Y",1,IF(E111="fixed",F111,IF(I111+1&lt;=127,1,F111)))</f>
        <v>8</v>
      </c>
      <c r="L111" s="25" t="n">
        <f aca="false">N110</f>
        <v>24</v>
      </c>
      <c r="M111" s="25" t="n">
        <f aca="false">IF(J111="Y",0,MOD(K111-MOD(L111,K111),K111))</f>
        <v>0</v>
      </c>
      <c r="N111" s="25" t="n">
        <f aca="false">L111+M111+IF(J111="Y",0,IF(E111="fixed",G111,IF(I111+1&lt;=127,I111+1,I111+4)))</f>
        <v>32</v>
      </c>
      <c r="O111" s="25" t="n">
        <f aca="false">IF(J111="Y",0,IF(E111="fixed",G111,IF(I111+1&lt;=127,I111+1,I111+4)))</f>
        <v>8</v>
      </c>
    </row>
    <row r="112" customFormat="false" ht="15" hidden="false" customHeight="false" outlineLevel="0" collapsed="false">
      <c r="A112" s="10" t="s">
        <v>232</v>
      </c>
      <c r="B112" s="23" t="n">
        <v>2</v>
      </c>
      <c r="C112" s="21" t="s">
        <v>236</v>
      </c>
      <c r="D112" s="10" t="s">
        <v>125</v>
      </c>
      <c r="E112" s="23" t="s">
        <v>126</v>
      </c>
      <c r="F112" s="23" t="n">
        <v>8</v>
      </c>
      <c r="G112" s="23" t="n">
        <v>8</v>
      </c>
      <c r="H112" s="12" t="s">
        <v>237</v>
      </c>
      <c r="I112" s="23" t="s">
        <v>128</v>
      </c>
      <c r="J112" s="24" t="s">
        <v>129</v>
      </c>
      <c r="K112" s="25" t="n">
        <f aca="false">IF(J112="Y",1,IF(E112="fixed",F112,IF(I112+1&lt;=127,1,F112)))</f>
        <v>8</v>
      </c>
      <c r="L112" s="25" t="n">
        <f aca="false">N111</f>
        <v>32</v>
      </c>
      <c r="M112" s="25" t="n">
        <f aca="false">IF(J112="Y",0,MOD(K112-MOD(L112,K112),K112))</f>
        <v>0</v>
      </c>
      <c r="N112" s="25" t="n">
        <f aca="false">L112+M112+IF(J112="Y",0,IF(E112="fixed",G112,IF(I112+1&lt;=127,I112+1,I112+4)))</f>
        <v>40</v>
      </c>
      <c r="O112" s="25" t="n">
        <f aca="false">IF(J112="Y",0,IF(E112="fixed",G112,IF(I112+1&lt;=127,I112+1,I112+4)))</f>
        <v>8</v>
      </c>
    </row>
    <row r="113" customFormat="false" ht="15" hidden="false" customHeight="false" outlineLevel="0" collapsed="false">
      <c r="A113" s="10" t="s">
        <v>232</v>
      </c>
      <c r="B113" s="23" t="n">
        <v>3</v>
      </c>
      <c r="C113" s="21" t="s">
        <v>238</v>
      </c>
      <c r="D113" s="10" t="s">
        <v>239</v>
      </c>
      <c r="E113" s="23" t="s">
        <v>132</v>
      </c>
      <c r="F113" s="23" t="n">
        <v>4</v>
      </c>
      <c r="G113" s="23" t="s">
        <v>128</v>
      </c>
      <c r="H113" s="12" t="s">
        <v>240</v>
      </c>
      <c r="I113" s="26" t="n">
        <v>20</v>
      </c>
      <c r="J113" s="24" t="s">
        <v>129</v>
      </c>
      <c r="K113" s="25" t="n">
        <f aca="false">IF(J113="Y",1,IF(E113="fixed",F113,IF(I113+1&lt;=127,1,F113)))</f>
        <v>1</v>
      </c>
      <c r="L113" s="25" t="n">
        <f aca="false">N112</f>
        <v>40</v>
      </c>
      <c r="M113" s="25" t="n">
        <f aca="false">IF(J113="Y",0,MOD(K113-MOD(L113,K113),K113))</f>
        <v>0</v>
      </c>
      <c r="N113" s="25" t="n">
        <f aca="false">L113+M113+IF(J113="Y",0,IF(E113="fixed",G113,IF(I113+1&lt;=127,I113+1,I113+4)))</f>
        <v>61</v>
      </c>
      <c r="O113" s="25" t="n">
        <f aca="false">IF(J113="Y",0,IF(E113="fixed",G113,IF(I113+1&lt;=127,I113+1,I113+4)))</f>
        <v>21</v>
      </c>
    </row>
    <row r="114" customFormat="false" ht="15" hidden="false" customHeight="false" outlineLevel="0" collapsed="false">
      <c r="A114" s="10" t="s">
        <v>232</v>
      </c>
      <c r="B114" s="23" t="n">
        <v>4</v>
      </c>
      <c r="C114" s="21" t="s">
        <v>241</v>
      </c>
      <c r="D114" s="10" t="s">
        <v>242</v>
      </c>
      <c r="E114" s="23" t="s">
        <v>132</v>
      </c>
      <c r="F114" s="23" t="n">
        <v>4</v>
      </c>
      <c r="G114" s="23" t="s">
        <v>128</v>
      </c>
      <c r="H114" s="12" t="s">
        <v>243</v>
      </c>
      <c r="I114" s="26" t="n">
        <v>32</v>
      </c>
      <c r="J114" s="24" t="s">
        <v>129</v>
      </c>
      <c r="K114" s="25" t="n">
        <f aca="false">IF(J114="Y",1,IF(E114="fixed",F114,IF(I114+1&lt;=127,1,F114)))</f>
        <v>1</v>
      </c>
      <c r="L114" s="25" t="n">
        <f aca="false">N113</f>
        <v>61</v>
      </c>
      <c r="M114" s="25" t="n">
        <f aca="false">IF(J114="Y",0,MOD(K114-MOD(L114,K114),K114))</f>
        <v>0</v>
      </c>
      <c r="N114" s="25" t="n">
        <f aca="false">L114+M114+IF(J114="Y",0,IF(E114="fixed",G114,IF(I114+1&lt;=127,I114+1,I114+4)))</f>
        <v>94</v>
      </c>
      <c r="O114" s="25" t="n">
        <f aca="false">IF(J114="Y",0,IF(E114="fixed",G114,IF(I114+1&lt;=127,I114+1,I114+4)))</f>
        <v>33</v>
      </c>
    </row>
    <row r="115" customFormat="false" ht="15" hidden="false" customHeight="false" outlineLevel="0" collapsed="false">
      <c r="C115" s="10" t="s">
        <v>158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25" t="n">
        <f aca="false">SUM(O111:O114)</f>
        <v>70</v>
      </c>
    </row>
    <row r="116" customFormat="false" ht="15" hidden="false" customHeight="false" outlineLevel="0" collapsed="false">
      <c r="C116" s="10" t="s">
        <v>159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25" t="n">
        <f aca="false">SUM(M111:M114)</f>
        <v>0</v>
      </c>
    </row>
    <row r="117" customFormat="false" ht="15" hidden="false" customHeight="false" outlineLevel="0" collapsed="false">
      <c r="C117" s="10" t="s">
        <v>160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25" t="n">
        <f aca="false">N114</f>
        <v>94</v>
      </c>
    </row>
    <row r="118" customFormat="false" ht="15" hidden="false" customHeight="false" outlineLevel="0" collapsed="false">
      <c r="C118" s="10" t="s">
        <v>161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25" t="n">
        <f aca="false">ROUNDUP(N114/8,0)*8</f>
        <v>96</v>
      </c>
    </row>
    <row r="119" customFormat="false" ht="15" hidden="false" customHeight="false" outlineLevel="0" collapsed="false">
      <c r="C119" s="10" t="s">
        <v>162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25" t="n">
        <f aca="false">N118+4</f>
        <v>100</v>
      </c>
    </row>
    <row r="120" customFormat="false" ht="15" hidden="false" customHeight="false" outlineLevel="0" collapsed="false">
      <c r="C120" s="10" t="s">
        <v>163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25" t="n">
        <f aca="false">INT((Assumptions!$B$16-Assumptions!$B$17)/N119)</f>
        <v>81</v>
      </c>
    </row>
    <row r="121" customFormat="false" ht="15" hidden="false" customHeight="false" outlineLevel="0" collapsed="false">
      <c r="C121" s="21" t="s">
        <v>164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7" t="n">
        <f aca="false">Assumptions!$B$16/N120</f>
        <v>101.135802469136</v>
      </c>
    </row>
    <row r="124" customFormat="false" ht="15" hidden="false" customHeight="false" outlineLevel="0" collapsed="false">
      <c r="A124" s="8" t="s">
        <v>244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customFormat="false" ht="42" hidden="false" customHeight="true" outlineLevel="0" collapsed="false">
      <c r="A125" s="7" t="s">
        <v>106</v>
      </c>
      <c r="B125" s="7" t="s">
        <v>107</v>
      </c>
      <c r="C125" s="7" t="s">
        <v>108</v>
      </c>
      <c r="D125" s="7" t="s">
        <v>109</v>
      </c>
      <c r="E125" s="7" t="s">
        <v>110</v>
      </c>
      <c r="F125" s="7" t="s">
        <v>111</v>
      </c>
      <c r="G125" s="7" t="s">
        <v>112</v>
      </c>
      <c r="H125" s="7" t="s">
        <v>113</v>
      </c>
      <c r="I125" s="7" t="s">
        <v>114</v>
      </c>
      <c r="J125" s="7" t="s">
        <v>115</v>
      </c>
      <c r="K125" s="7" t="s">
        <v>116</v>
      </c>
      <c r="L125" s="7" t="s">
        <v>117</v>
      </c>
      <c r="M125" s="7" t="s">
        <v>118</v>
      </c>
      <c r="N125" s="7" t="s">
        <v>119</v>
      </c>
    </row>
    <row r="126" customFormat="false" ht="30" hidden="false" customHeight="true" outlineLevel="0" collapsed="false">
      <c r="A126" s="21" t="s">
        <v>245</v>
      </c>
      <c r="C126" s="21" t="s">
        <v>121</v>
      </c>
      <c r="D126" s="12" t="s">
        <v>246</v>
      </c>
      <c r="H126" s="12" t="s">
        <v>123</v>
      </c>
      <c r="N126" s="22" t="n">
        <f aca="false">ROUNDUP((23+IF(COUNTIF(J127:J136,"Y")&gt;0,ROUNDUP(10/8,0),0))/8,0)*8</f>
        <v>24</v>
      </c>
    </row>
    <row r="127" customFormat="false" ht="15" hidden="false" customHeight="false" outlineLevel="0" collapsed="false">
      <c r="A127" s="10" t="s">
        <v>245</v>
      </c>
      <c r="B127" s="23" t="n">
        <v>1</v>
      </c>
      <c r="C127" s="21" t="s">
        <v>247</v>
      </c>
      <c r="D127" s="10" t="s">
        <v>125</v>
      </c>
      <c r="E127" s="23" t="s">
        <v>126</v>
      </c>
      <c r="F127" s="23" t="n">
        <v>8</v>
      </c>
      <c r="G127" s="23" t="n">
        <v>8</v>
      </c>
      <c r="H127" s="12" t="s">
        <v>235</v>
      </c>
      <c r="I127" s="23" t="s">
        <v>128</v>
      </c>
      <c r="J127" s="24" t="s">
        <v>129</v>
      </c>
      <c r="K127" s="25" t="n">
        <f aca="false">IF(J127="Y",1,IF(E127="fixed",F127,IF(I127+1&lt;=127,1,F127)))</f>
        <v>8</v>
      </c>
      <c r="L127" s="25" t="n">
        <f aca="false">N126</f>
        <v>24</v>
      </c>
      <c r="M127" s="25" t="n">
        <f aca="false">IF(J127="Y",0,MOD(K127-MOD(L127,K127),K127))</f>
        <v>0</v>
      </c>
      <c r="N127" s="25" t="n">
        <f aca="false">L127+M127+IF(J127="Y",0,IF(E127="fixed",G127,IF(I127+1&lt;=127,I127+1,I127+4)))</f>
        <v>32</v>
      </c>
      <c r="O127" s="25" t="n">
        <f aca="false">IF(J127="Y",0,IF(E127="fixed",G127,IF(I127+1&lt;=127,I127+1,I127+4)))</f>
        <v>8</v>
      </c>
    </row>
    <row r="128" customFormat="false" ht="15" hidden="false" customHeight="false" outlineLevel="0" collapsed="false">
      <c r="A128" s="10" t="s">
        <v>245</v>
      </c>
      <c r="B128" s="23" t="n">
        <v>2</v>
      </c>
      <c r="C128" s="21" t="s">
        <v>236</v>
      </c>
      <c r="D128" s="10" t="s">
        <v>125</v>
      </c>
      <c r="E128" s="23" t="s">
        <v>126</v>
      </c>
      <c r="F128" s="23" t="n">
        <v>8</v>
      </c>
      <c r="G128" s="23" t="n">
        <v>8</v>
      </c>
      <c r="H128" s="12" t="s">
        <v>237</v>
      </c>
      <c r="I128" s="23" t="s">
        <v>128</v>
      </c>
      <c r="J128" s="24" t="s">
        <v>129</v>
      </c>
      <c r="K128" s="25" t="n">
        <f aca="false">IF(J128="Y",1,IF(E128="fixed",F128,IF(I128+1&lt;=127,1,F128)))</f>
        <v>8</v>
      </c>
      <c r="L128" s="25" t="n">
        <f aca="false">N127</f>
        <v>32</v>
      </c>
      <c r="M128" s="25" t="n">
        <f aca="false">IF(J128="Y",0,MOD(K128-MOD(L128,K128),K128))</f>
        <v>0</v>
      </c>
      <c r="N128" s="25" t="n">
        <f aca="false">L128+M128+IF(J128="Y",0,IF(E128="fixed",G128,IF(I128+1&lt;=127,I128+1,I128+4)))</f>
        <v>40</v>
      </c>
      <c r="O128" s="25" t="n">
        <f aca="false">IF(J128="Y",0,IF(E128="fixed",G128,IF(I128+1&lt;=127,I128+1,I128+4)))</f>
        <v>8</v>
      </c>
    </row>
    <row r="129" customFormat="false" ht="15" hidden="false" customHeight="false" outlineLevel="0" collapsed="false">
      <c r="A129" s="10" t="s">
        <v>245</v>
      </c>
      <c r="B129" s="23" t="n">
        <v>3</v>
      </c>
      <c r="C129" s="21" t="s">
        <v>234</v>
      </c>
      <c r="D129" s="10" t="s">
        <v>125</v>
      </c>
      <c r="E129" s="23" t="s">
        <v>126</v>
      </c>
      <c r="F129" s="23" t="n">
        <v>8</v>
      </c>
      <c r="G129" s="23" t="n">
        <v>8</v>
      </c>
      <c r="H129" s="12" t="s">
        <v>248</v>
      </c>
      <c r="I129" s="23" t="s">
        <v>128</v>
      </c>
      <c r="J129" s="24" t="s">
        <v>129</v>
      </c>
      <c r="K129" s="25" t="n">
        <f aca="false">IF(J129="Y",1,IF(E129="fixed",F129,IF(I129+1&lt;=127,1,F129)))</f>
        <v>8</v>
      </c>
      <c r="L129" s="25" t="n">
        <f aca="false">N128</f>
        <v>40</v>
      </c>
      <c r="M129" s="25" t="n">
        <f aca="false">IF(J129="Y",0,MOD(K129-MOD(L129,K129),K129))</f>
        <v>0</v>
      </c>
      <c r="N129" s="25" t="n">
        <f aca="false">L129+M129+IF(J129="Y",0,IF(E129="fixed",G129,IF(I129+1&lt;=127,I129+1,I129+4)))</f>
        <v>48</v>
      </c>
      <c r="O129" s="25" t="n">
        <f aca="false">IF(J129="Y",0,IF(E129="fixed",G129,IF(I129+1&lt;=127,I129+1,I129+4)))</f>
        <v>8</v>
      </c>
    </row>
    <row r="130" customFormat="false" ht="15" hidden="false" customHeight="false" outlineLevel="0" collapsed="false">
      <c r="A130" s="10" t="s">
        <v>245</v>
      </c>
      <c r="B130" s="23" t="n">
        <v>4</v>
      </c>
      <c r="C130" s="21" t="s">
        <v>249</v>
      </c>
      <c r="D130" s="10" t="s">
        <v>250</v>
      </c>
      <c r="E130" s="23" t="s">
        <v>126</v>
      </c>
      <c r="F130" s="23" t="n">
        <v>8</v>
      </c>
      <c r="G130" s="23" t="n">
        <v>8</v>
      </c>
      <c r="H130" s="12" t="s">
        <v>251</v>
      </c>
      <c r="I130" s="23" t="s">
        <v>128</v>
      </c>
      <c r="J130" s="24" t="s">
        <v>129</v>
      </c>
      <c r="K130" s="25" t="n">
        <f aca="false">IF(J130="Y",1,IF(E130="fixed",F130,IF(I130+1&lt;=127,1,F130)))</f>
        <v>8</v>
      </c>
      <c r="L130" s="25" t="n">
        <f aca="false">N129</f>
        <v>48</v>
      </c>
      <c r="M130" s="25" t="n">
        <f aca="false">IF(J130="Y",0,MOD(K130-MOD(L130,K130),K130))</f>
        <v>0</v>
      </c>
      <c r="N130" s="25" t="n">
        <f aca="false">L130+M130+IF(J130="Y",0,IF(E130="fixed",G130,IF(I130+1&lt;=127,I130+1,I130+4)))</f>
        <v>56</v>
      </c>
      <c r="O130" s="25" t="n">
        <f aca="false">IF(J130="Y",0,IF(E130="fixed",G130,IF(I130+1&lt;=127,I130+1,I130+4)))</f>
        <v>8</v>
      </c>
    </row>
    <row r="131" customFormat="false" ht="15" hidden="false" customHeight="false" outlineLevel="0" collapsed="false">
      <c r="A131" s="10" t="s">
        <v>245</v>
      </c>
      <c r="B131" s="23" t="n">
        <v>5</v>
      </c>
      <c r="C131" s="21" t="s">
        <v>200</v>
      </c>
      <c r="D131" s="10" t="s">
        <v>250</v>
      </c>
      <c r="E131" s="23" t="s">
        <v>126</v>
      </c>
      <c r="F131" s="23" t="n">
        <v>8</v>
      </c>
      <c r="G131" s="23" t="n">
        <v>8</v>
      </c>
      <c r="H131" s="12" t="s">
        <v>252</v>
      </c>
      <c r="I131" s="23" t="s">
        <v>128</v>
      </c>
      <c r="J131" s="24" t="s">
        <v>129</v>
      </c>
      <c r="K131" s="25" t="n">
        <f aca="false">IF(J131="Y",1,IF(E131="fixed",F131,IF(I131+1&lt;=127,1,F131)))</f>
        <v>8</v>
      </c>
      <c r="L131" s="25" t="n">
        <f aca="false">N130</f>
        <v>56</v>
      </c>
      <c r="M131" s="25" t="n">
        <f aca="false">IF(J131="Y",0,MOD(K131-MOD(L131,K131),K131))</f>
        <v>0</v>
      </c>
      <c r="N131" s="25" t="n">
        <f aca="false">L131+M131+IF(J131="Y",0,IF(E131="fixed",G131,IF(I131+1&lt;=127,I131+1,I131+4)))</f>
        <v>64</v>
      </c>
      <c r="O131" s="25" t="n">
        <f aca="false">IF(J131="Y",0,IF(E131="fixed",G131,IF(I131+1&lt;=127,I131+1,I131+4)))</f>
        <v>8</v>
      </c>
    </row>
    <row r="132" customFormat="false" ht="15" hidden="false" customHeight="false" outlineLevel="0" collapsed="false">
      <c r="A132" s="10" t="s">
        <v>245</v>
      </c>
      <c r="B132" s="23" t="n">
        <v>6</v>
      </c>
      <c r="C132" s="21" t="s">
        <v>196</v>
      </c>
      <c r="D132" s="10" t="s">
        <v>250</v>
      </c>
      <c r="E132" s="23" t="s">
        <v>126</v>
      </c>
      <c r="F132" s="23" t="n">
        <v>8</v>
      </c>
      <c r="G132" s="23" t="n">
        <v>8</v>
      </c>
      <c r="H132" s="12" t="s">
        <v>253</v>
      </c>
      <c r="I132" s="23" t="s">
        <v>128</v>
      </c>
      <c r="J132" s="24" t="s">
        <v>129</v>
      </c>
      <c r="K132" s="25" t="n">
        <f aca="false">IF(J132="Y",1,IF(E132="fixed",F132,IF(I132+1&lt;=127,1,F132)))</f>
        <v>8</v>
      </c>
      <c r="L132" s="25" t="n">
        <f aca="false">N131</f>
        <v>64</v>
      </c>
      <c r="M132" s="25" t="n">
        <f aca="false">IF(J132="Y",0,MOD(K132-MOD(L132,K132),K132))</f>
        <v>0</v>
      </c>
      <c r="N132" s="25" t="n">
        <f aca="false">L132+M132+IF(J132="Y",0,IF(E132="fixed",G132,IF(I132+1&lt;=127,I132+1,I132+4)))</f>
        <v>72</v>
      </c>
      <c r="O132" s="25" t="n">
        <f aca="false">IF(J132="Y",0,IF(E132="fixed",G132,IF(I132+1&lt;=127,I132+1,I132+4)))</f>
        <v>8</v>
      </c>
    </row>
    <row r="133" customFormat="false" ht="15" hidden="false" customHeight="false" outlineLevel="0" collapsed="false">
      <c r="A133" s="10" t="s">
        <v>245</v>
      </c>
      <c r="B133" s="23" t="n">
        <v>7</v>
      </c>
      <c r="C133" s="21" t="s">
        <v>137</v>
      </c>
      <c r="D133" s="10" t="s">
        <v>222</v>
      </c>
      <c r="E133" s="23" t="s">
        <v>132</v>
      </c>
      <c r="F133" s="23" t="n">
        <v>4</v>
      </c>
      <c r="G133" s="23" t="s">
        <v>128</v>
      </c>
      <c r="H133" s="12" t="s">
        <v>254</v>
      </c>
      <c r="I133" s="26" t="n">
        <v>9</v>
      </c>
      <c r="J133" s="24" t="s">
        <v>129</v>
      </c>
      <c r="K133" s="25" t="n">
        <f aca="false">IF(J133="Y",1,IF(E133="fixed",F133,IF(I133+1&lt;=127,1,F133)))</f>
        <v>1</v>
      </c>
      <c r="L133" s="25" t="n">
        <f aca="false">N132</f>
        <v>72</v>
      </c>
      <c r="M133" s="25" t="n">
        <f aca="false">IF(J133="Y",0,MOD(K133-MOD(L133,K133),K133))</f>
        <v>0</v>
      </c>
      <c r="N133" s="25" t="n">
        <f aca="false">L133+M133+IF(J133="Y",0,IF(E133="fixed",G133,IF(I133+1&lt;=127,I133+1,I133+4)))</f>
        <v>82</v>
      </c>
      <c r="O133" s="25" t="n">
        <f aca="false">IF(J133="Y",0,IF(E133="fixed",G133,IF(I133+1&lt;=127,I133+1,I133+4)))</f>
        <v>10</v>
      </c>
    </row>
    <row r="134" customFormat="false" ht="15" hidden="false" customHeight="false" outlineLevel="0" collapsed="false">
      <c r="A134" s="10" t="s">
        <v>245</v>
      </c>
      <c r="B134" s="23" t="n">
        <v>8</v>
      </c>
      <c r="C134" s="21" t="s">
        <v>255</v>
      </c>
      <c r="D134" s="10" t="s">
        <v>256</v>
      </c>
      <c r="E134" s="23" t="s">
        <v>132</v>
      </c>
      <c r="F134" s="23" t="n">
        <v>4</v>
      </c>
      <c r="G134" s="23" t="s">
        <v>128</v>
      </c>
      <c r="H134" s="12" t="s">
        <v>254</v>
      </c>
      <c r="I134" s="26" t="n">
        <v>9</v>
      </c>
      <c r="J134" s="24" t="s">
        <v>129</v>
      </c>
      <c r="K134" s="25" t="n">
        <f aca="false">IF(J134="Y",1,IF(E134="fixed",F134,IF(I134+1&lt;=127,1,F134)))</f>
        <v>1</v>
      </c>
      <c r="L134" s="25" t="n">
        <f aca="false">N133</f>
        <v>82</v>
      </c>
      <c r="M134" s="25" t="n">
        <f aca="false">IF(J134="Y",0,MOD(K134-MOD(L134,K134),K134))</f>
        <v>0</v>
      </c>
      <c r="N134" s="25" t="n">
        <f aca="false">L134+M134+IF(J134="Y",0,IF(E134="fixed",G134,IF(I134+1&lt;=127,I134+1,I134+4)))</f>
        <v>92</v>
      </c>
      <c r="O134" s="25" t="n">
        <f aca="false">IF(J134="Y",0,IF(E134="fixed",G134,IF(I134+1&lt;=127,I134+1,I134+4)))</f>
        <v>10</v>
      </c>
    </row>
    <row r="135" customFormat="false" ht="15" hidden="false" customHeight="false" outlineLevel="0" collapsed="false">
      <c r="A135" s="10" t="s">
        <v>245</v>
      </c>
      <c r="B135" s="23" t="n">
        <v>9</v>
      </c>
      <c r="C135" s="21" t="s">
        <v>257</v>
      </c>
      <c r="D135" s="10" t="s">
        <v>256</v>
      </c>
      <c r="E135" s="23" t="s">
        <v>132</v>
      </c>
      <c r="F135" s="23" t="n">
        <v>4</v>
      </c>
      <c r="G135" s="23" t="s">
        <v>128</v>
      </c>
      <c r="H135" s="12" t="s">
        <v>258</v>
      </c>
      <c r="I135" s="26" t="n">
        <v>0</v>
      </c>
      <c r="J135" s="24" t="s">
        <v>129</v>
      </c>
      <c r="K135" s="25" t="n">
        <f aca="false">IF(J135="Y",1,IF(E135="fixed",F135,IF(I135+1&lt;=127,1,F135)))</f>
        <v>1</v>
      </c>
      <c r="L135" s="25" t="n">
        <f aca="false">N134</f>
        <v>92</v>
      </c>
      <c r="M135" s="25" t="n">
        <f aca="false">IF(J135="Y",0,MOD(K135-MOD(L135,K135),K135))</f>
        <v>0</v>
      </c>
      <c r="N135" s="25" t="n">
        <f aca="false">L135+M135+IF(J135="Y",0,IF(E135="fixed",G135,IF(I135+1&lt;=127,I135+1,I135+4)))</f>
        <v>93</v>
      </c>
      <c r="O135" s="25" t="n">
        <f aca="false">IF(J135="Y",0,IF(E135="fixed",G135,IF(I135+1&lt;=127,I135+1,I135+4)))</f>
        <v>1</v>
      </c>
    </row>
    <row r="136" customFormat="false" ht="15" hidden="false" customHeight="false" outlineLevel="0" collapsed="false">
      <c r="A136" s="10" t="s">
        <v>245</v>
      </c>
      <c r="B136" s="23" t="n">
        <v>10</v>
      </c>
      <c r="C136" s="21" t="s">
        <v>259</v>
      </c>
      <c r="D136" s="10" t="s">
        <v>250</v>
      </c>
      <c r="E136" s="23" t="s">
        <v>126</v>
      </c>
      <c r="F136" s="23" t="n">
        <v>8</v>
      </c>
      <c r="G136" s="23" t="n">
        <v>8</v>
      </c>
      <c r="H136" s="12" t="s">
        <v>260</v>
      </c>
      <c r="I136" s="23" t="s">
        <v>128</v>
      </c>
      <c r="J136" s="24" t="s">
        <v>129</v>
      </c>
      <c r="K136" s="25" t="n">
        <f aca="false">IF(J136="Y",1,IF(E136="fixed",F136,IF(I136+1&lt;=127,1,F136)))</f>
        <v>8</v>
      </c>
      <c r="L136" s="25" t="n">
        <f aca="false">N135</f>
        <v>93</v>
      </c>
      <c r="M136" s="25" t="n">
        <f aca="false">IF(J136="Y",0,MOD(K136-MOD(L136,K136),K136))</f>
        <v>3</v>
      </c>
      <c r="N136" s="25" t="n">
        <f aca="false">L136+M136+IF(J136="Y",0,IF(E136="fixed",G136,IF(I136+1&lt;=127,I136+1,I136+4)))</f>
        <v>104</v>
      </c>
      <c r="O136" s="25" t="n">
        <f aca="false">IF(J136="Y",0,IF(E136="fixed",G136,IF(I136+1&lt;=127,I136+1,I136+4)))</f>
        <v>8</v>
      </c>
    </row>
    <row r="137" customFormat="false" ht="15" hidden="false" customHeight="false" outlineLevel="0" collapsed="false">
      <c r="C137" s="10" t="s">
        <v>158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25" t="n">
        <f aca="false">SUM(O127:O136)</f>
        <v>77</v>
      </c>
    </row>
    <row r="138" customFormat="false" ht="15" hidden="false" customHeight="false" outlineLevel="0" collapsed="false">
      <c r="C138" s="10" t="s">
        <v>159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25" t="n">
        <f aca="false">SUM(M127:M136)</f>
        <v>3</v>
      </c>
    </row>
    <row r="139" customFormat="false" ht="15" hidden="false" customHeight="false" outlineLevel="0" collapsed="false">
      <c r="C139" s="10" t="s">
        <v>160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25" t="n">
        <f aca="false">N136</f>
        <v>104</v>
      </c>
    </row>
    <row r="140" customFormat="false" ht="15" hidden="false" customHeight="false" outlineLevel="0" collapsed="false">
      <c r="C140" s="10" t="s">
        <v>161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25" t="n">
        <f aca="false">ROUNDUP(N136/8,0)*8</f>
        <v>104</v>
      </c>
    </row>
    <row r="141" customFormat="false" ht="15" hidden="false" customHeight="false" outlineLevel="0" collapsed="false">
      <c r="C141" s="10" t="s">
        <v>162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25" t="n">
        <f aca="false">N140+4</f>
        <v>108</v>
      </c>
    </row>
    <row r="142" customFormat="false" ht="15" hidden="false" customHeight="false" outlineLevel="0" collapsed="false">
      <c r="C142" s="10" t="s">
        <v>163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25" t="n">
        <f aca="false">INT((Assumptions!$B$16-Assumptions!$B$17)/N141)</f>
        <v>75</v>
      </c>
    </row>
    <row r="143" customFormat="false" ht="15" hidden="false" customHeight="false" outlineLevel="0" collapsed="false">
      <c r="C143" s="21" t="s">
        <v>164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7" t="n">
        <f aca="false">Assumptions!$B$16/N142</f>
        <v>109.226666666667</v>
      </c>
    </row>
    <row r="146" customFormat="false" ht="15" hidden="false" customHeight="false" outlineLevel="0" collapsed="false">
      <c r="A146" s="8" t="s">
        <v>261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customFormat="false" ht="42" hidden="false" customHeight="true" outlineLevel="0" collapsed="false">
      <c r="A147" s="7" t="s">
        <v>106</v>
      </c>
      <c r="B147" s="7" t="s">
        <v>107</v>
      </c>
      <c r="C147" s="7" t="s">
        <v>108</v>
      </c>
      <c r="D147" s="7" t="s">
        <v>109</v>
      </c>
      <c r="E147" s="7" t="s">
        <v>110</v>
      </c>
      <c r="F147" s="7" t="s">
        <v>111</v>
      </c>
      <c r="G147" s="7" t="s">
        <v>112</v>
      </c>
      <c r="H147" s="7" t="s">
        <v>113</v>
      </c>
      <c r="I147" s="7" t="s">
        <v>114</v>
      </c>
      <c r="J147" s="7" t="s">
        <v>115</v>
      </c>
      <c r="K147" s="7" t="s">
        <v>116</v>
      </c>
      <c r="L147" s="7" t="s">
        <v>117</v>
      </c>
      <c r="M147" s="7" t="s">
        <v>118</v>
      </c>
      <c r="N147" s="7" t="s">
        <v>119</v>
      </c>
    </row>
    <row r="148" customFormat="false" ht="30" hidden="false" customHeight="true" outlineLevel="0" collapsed="false">
      <c r="A148" s="21" t="s">
        <v>262</v>
      </c>
      <c r="C148" s="21" t="s">
        <v>121</v>
      </c>
      <c r="D148" s="12" t="s">
        <v>263</v>
      </c>
      <c r="H148" s="12" t="s">
        <v>123</v>
      </c>
      <c r="N148" s="22" t="n">
        <f aca="false">ROUNDUP((23+IF(COUNTIF(J149:J153,"Y")&gt;0,ROUNDUP(5/8,0),0))/8,0)*8</f>
        <v>24</v>
      </c>
    </row>
    <row r="149" customFormat="false" ht="15" hidden="false" customHeight="false" outlineLevel="0" collapsed="false">
      <c r="A149" s="10" t="s">
        <v>262</v>
      </c>
      <c r="B149" s="23" t="n">
        <v>1</v>
      </c>
      <c r="C149" s="21" t="s">
        <v>247</v>
      </c>
      <c r="D149" s="10" t="s">
        <v>125</v>
      </c>
      <c r="E149" s="23" t="s">
        <v>126</v>
      </c>
      <c r="F149" s="23" t="n">
        <v>8</v>
      </c>
      <c r="G149" s="23" t="n">
        <v>8</v>
      </c>
      <c r="H149" s="12" t="s">
        <v>264</v>
      </c>
      <c r="I149" s="23" t="s">
        <v>128</v>
      </c>
      <c r="J149" s="24" t="s">
        <v>129</v>
      </c>
      <c r="K149" s="25" t="n">
        <f aca="false">IF(J149="Y",1,IF(E149="fixed",F149,IF(I149+1&lt;=127,1,F149)))</f>
        <v>8</v>
      </c>
      <c r="L149" s="25" t="n">
        <f aca="false">N148</f>
        <v>24</v>
      </c>
      <c r="M149" s="25" t="n">
        <f aca="false">IF(J149="Y",0,MOD(K149-MOD(L149,K149),K149))</f>
        <v>0</v>
      </c>
      <c r="N149" s="25" t="n">
        <f aca="false">L149+M149+IF(J149="Y",0,IF(E149="fixed",G149,IF(I149+1&lt;=127,I149+1,I149+4)))</f>
        <v>32</v>
      </c>
      <c r="O149" s="25" t="n">
        <f aca="false">IF(J149="Y",0,IF(E149="fixed",G149,IF(I149+1&lt;=127,I149+1,I149+4)))</f>
        <v>8</v>
      </c>
    </row>
    <row r="150" customFormat="false" ht="15" hidden="false" customHeight="false" outlineLevel="0" collapsed="false">
      <c r="A150" s="10" t="s">
        <v>262</v>
      </c>
      <c r="B150" s="23" t="n">
        <v>2</v>
      </c>
      <c r="C150" s="21" t="s">
        <v>265</v>
      </c>
      <c r="D150" s="10" t="s">
        <v>239</v>
      </c>
      <c r="E150" s="23" t="s">
        <v>132</v>
      </c>
      <c r="F150" s="23" t="n">
        <v>4</v>
      </c>
      <c r="G150" s="23" t="s">
        <v>128</v>
      </c>
      <c r="H150" s="12" t="s">
        <v>266</v>
      </c>
      <c r="I150" s="26" t="n">
        <v>6</v>
      </c>
      <c r="J150" s="24" t="s">
        <v>129</v>
      </c>
      <c r="K150" s="25" t="n">
        <f aca="false">IF(J150="Y",1,IF(E150="fixed",F150,IF(I150+1&lt;=127,1,F150)))</f>
        <v>1</v>
      </c>
      <c r="L150" s="25" t="n">
        <f aca="false">N149</f>
        <v>32</v>
      </c>
      <c r="M150" s="25" t="n">
        <f aca="false">IF(J150="Y",0,MOD(K150-MOD(L150,K150),K150))</f>
        <v>0</v>
      </c>
      <c r="N150" s="25" t="n">
        <f aca="false">L150+M150+IF(J150="Y",0,IF(E150="fixed",G150,IF(I150+1&lt;=127,I150+1,I150+4)))</f>
        <v>39</v>
      </c>
      <c r="O150" s="25" t="n">
        <f aca="false">IF(J150="Y",0,IF(E150="fixed",G150,IF(I150+1&lt;=127,I150+1,I150+4)))</f>
        <v>7</v>
      </c>
    </row>
    <row r="151" customFormat="false" ht="15" hidden="false" customHeight="false" outlineLevel="0" collapsed="false">
      <c r="A151" s="10" t="s">
        <v>262</v>
      </c>
      <c r="B151" s="23" t="n">
        <v>3</v>
      </c>
      <c r="C151" s="21" t="s">
        <v>267</v>
      </c>
      <c r="D151" s="10" t="s">
        <v>239</v>
      </c>
      <c r="E151" s="23" t="s">
        <v>132</v>
      </c>
      <c r="F151" s="23" t="n">
        <v>4</v>
      </c>
      <c r="G151" s="23" t="s">
        <v>128</v>
      </c>
      <c r="H151" s="12" t="s">
        <v>268</v>
      </c>
      <c r="I151" s="26" t="n">
        <v>14</v>
      </c>
      <c r="J151" s="24" t="s">
        <v>129</v>
      </c>
      <c r="K151" s="25" t="n">
        <f aca="false">IF(J151="Y",1,IF(E151="fixed",F151,IF(I151+1&lt;=127,1,F151)))</f>
        <v>1</v>
      </c>
      <c r="L151" s="25" t="n">
        <f aca="false">N150</f>
        <v>39</v>
      </c>
      <c r="M151" s="25" t="n">
        <f aca="false">IF(J151="Y",0,MOD(K151-MOD(L151,K151),K151))</f>
        <v>0</v>
      </c>
      <c r="N151" s="25" t="n">
        <f aca="false">L151+M151+IF(J151="Y",0,IF(E151="fixed",G151,IF(I151+1&lt;=127,I151+1,I151+4)))</f>
        <v>54</v>
      </c>
      <c r="O151" s="25" t="n">
        <f aca="false">IF(J151="Y",0,IF(E151="fixed",G151,IF(I151+1&lt;=127,I151+1,I151+4)))</f>
        <v>15</v>
      </c>
    </row>
    <row r="152" customFormat="false" ht="15" hidden="false" customHeight="false" outlineLevel="0" collapsed="false">
      <c r="A152" s="10" t="s">
        <v>262</v>
      </c>
      <c r="B152" s="23" t="n">
        <v>4</v>
      </c>
      <c r="C152" s="21" t="s">
        <v>269</v>
      </c>
      <c r="D152" s="10" t="s">
        <v>256</v>
      </c>
      <c r="E152" s="23" t="s">
        <v>132</v>
      </c>
      <c r="F152" s="23" t="n">
        <v>4</v>
      </c>
      <c r="G152" s="23" t="s">
        <v>128</v>
      </c>
      <c r="H152" s="12" t="s">
        <v>270</v>
      </c>
      <c r="I152" s="26" t="n">
        <v>10</v>
      </c>
      <c r="J152" s="24" t="s">
        <v>129</v>
      </c>
      <c r="K152" s="25" t="n">
        <f aca="false">IF(J152="Y",1,IF(E152="fixed",F152,IF(I152+1&lt;=127,1,F152)))</f>
        <v>1</v>
      </c>
      <c r="L152" s="25" t="n">
        <f aca="false">N151</f>
        <v>54</v>
      </c>
      <c r="M152" s="25" t="n">
        <f aca="false">IF(J152="Y",0,MOD(K152-MOD(L152,K152),K152))</f>
        <v>0</v>
      </c>
      <c r="N152" s="25" t="n">
        <f aca="false">L152+M152+IF(J152="Y",0,IF(E152="fixed",G152,IF(I152+1&lt;=127,I152+1,I152+4)))</f>
        <v>65</v>
      </c>
      <c r="O152" s="25" t="n">
        <f aca="false">IF(J152="Y",0,IF(E152="fixed",G152,IF(I152+1&lt;=127,I152+1,I152+4)))</f>
        <v>11</v>
      </c>
    </row>
    <row r="153" customFormat="false" ht="15" hidden="false" customHeight="false" outlineLevel="0" collapsed="false">
      <c r="A153" s="10" t="s">
        <v>262</v>
      </c>
      <c r="B153" s="23" t="n">
        <v>5</v>
      </c>
      <c r="C153" s="21" t="s">
        <v>271</v>
      </c>
      <c r="D153" s="10" t="s">
        <v>272</v>
      </c>
      <c r="E153" s="23" t="s">
        <v>132</v>
      </c>
      <c r="F153" s="23" t="n">
        <v>4</v>
      </c>
      <c r="G153" s="23" t="s">
        <v>128</v>
      </c>
      <c r="H153" s="12" t="s">
        <v>273</v>
      </c>
      <c r="I153" s="26" t="n">
        <v>1</v>
      </c>
      <c r="J153" s="24" t="s">
        <v>129</v>
      </c>
      <c r="K153" s="25" t="n">
        <f aca="false">IF(J153="Y",1,IF(E153="fixed",F153,IF(I153+1&lt;=127,1,F153)))</f>
        <v>1</v>
      </c>
      <c r="L153" s="25" t="n">
        <f aca="false">N152</f>
        <v>65</v>
      </c>
      <c r="M153" s="25" t="n">
        <f aca="false">IF(J153="Y",0,MOD(K153-MOD(L153,K153),K153))</f>
        <v>0</v>
      </c>
      <c r="N153" s="25" t="n">
        <f aca="false">L153+M153+IF(J153="Y",0,IF(E153="fixed",G153,IF(I153+1&lt;=127,I153+1,I153+4)))</f>
        <v>67</v>
      </c>
      <c r="O153" s="25" t="n">
        <f aca="false">IF(J153="Y",0,IF(E153="fixed",G153,IF(I153+1&lt;=127,I153+1,I153+4)))</f>
        <v>2</v>
      </c>
    </row>
    <row r="154" customFormat="false" ht="15" hidden="false" customHeight="false" outlineLevel="0" collapsed="false">
      <c r="C154" s="10" t="s">
        <v>158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25" t="n">
        <f aca="false">SUM(O149:O153)</f>
        <v>43</v>
      </c>
    </row>
    <row r="155" customFormat="false" ht="15" hidden="false" customHeight="false" outlineLevel="0" collapsed="false">
      <c r="C155" s="10" t="s">
        <v>159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25" t="n">
        <f aca="false">SUM(M149:M153)</f>
        <v>0</v>
      </c>
    </row>
    <row r="156" customFormat="false" ht="15" hidden="false" customHeight="false" outlineLevel="0" collapsed="false">
      <c r="C156" s="10" t="s">
        <v>160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25" t="n">
        <f aca="false">N153</f>
        <v>67</v>
      </c>
    </row>
    <row r="157" customFormat="false" ht="15" hidden="false" customHeight="false" outlineLevel="0" collapsed="false">
      <c r="C157" s="10" t="s">
        <v>161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25" t="n">
        <f aca="false">ROUNDUP(N153/8,0)*8</f>
        <v>72</v>
      </c>
    </row>
    <row r="158" customFormat="false" ht="15" hidden="false" customHeight="false" outlineLevel="0" collapsed="false">
      <c r="C158" s="10" t="s">
        <v>162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25" t="n">
        <f aca="false">N157+4</f>
        <v>76</v>
      </c>
    </row>
    <row r="159" customFormat="false" ht="15" hidden="false" customHeight="false" outlineLevel="0" collapsed="false">
      <c r="C159" s="10" t="s">
        <v>163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25" t="n">
        <f aca="false">INT((Assumptions!$B$16-Assumptions!$B$17)/N158)</f>
        <v>107</v>
      </c>
    </row>
    <row r="160" customFormat="false" ht="15" hidden="false" customHeight="false" outlineLevel="0" collapsed="false">
      <c r="C160" s="21" t="s">
        <v>164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7" t="n">
        <f aca="false">Assumptions!$B$16/N159</f>
        <v>76.5607476635514</v>
      </c>
    </row>
    <row r="163" customFormat="false" ht="15" hidden="false" customHeight="false" outlineLevel="0" collapsed="false">
      <c r="A163" s="8" t="s">
        <v>274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customFormat="false" ht="42" hidden="false" customHeight="true" outlineLevel="0" collapsed="false">
      <c r="A164" s="7" t="s">
        <v>106</v>
      </c>
      <c r="B164" s="7" t="s">
        <v>107</v>
      </c>
      <c r="C164" s="7" t="s">
        <v>108</v>
      </c>
      <c r="D164" s="7" t="s">
        <v>109</v>
      </c>
      <c r="E164" s="7" t="s">
        <v>110</v>
      </c>
      <c r="F164" s="7" t="s">
        <v>111</v>
      </c>
      <c r="G164" s="7" t="s">
        <v>112</v>
      </c>
      <c r="H164" s="7" t="s">
        <v>113</v>
      </c>
      <c r="I164" s="7" t="s">
        <v>114</v>
      </c>
      <c r="J164" s="7" t="s">
        <v>115</v>
      </c>
      <c r="K164" s="7" t="s">
        <v>116</v>
      </c>
      <c r="L164" s="7" t="s">
        <v>117</v>
      </c>
      <c r="M164" s="7" t="s">
        <v>118</v>
      </c>
      <c r="N164" s="7" t="s">
        <v>119</v>
      </c>
    </row>
    <row r="165" customFormat="false" ht="30" hidden="false" customHeight="true" outlineLevel="0" collapsed="false">
      <c r="A165" s="21" t="s">
        <v>275</v>
      </c>
      <c r="C165" s="21" t="s">
        <v>121</v>
      </c>
      <c r="D165" s="12" t="s">
        <v>276</v>
      </c>
      <c r="H165" s="12" t="s">
        <v>123</v>
      </c>
      <c r="N165" s="22" t="n">
        <f aca="false">ROUNDUP((23+IF(COUNTIF(J166:J184,"Y")&gt;0,ROUNDUP(19/8,0),0))/8,0)*8</f>
        <v>24</v>
      </c>
    </row>
    <row r="166" customFormat="false" ht="15" hidden="false" customHeight="false" outlineLevel="0" collapsed="false">
      <c r="A166" s="10" t="s">
        <v>275</v>
      </c>
      <c r="B166" s="23" t="n">
        <v>1</v>
      </c>
      <c r="C166" s="21" t="s">
        <v>277</v>
      </c>
      <c r="D166" s="10" t="s">
        <v>125</v>
      </c>
      <c r="E166" s="23" t="s">
        <v>126</v>
      </c>
      <c r="F166" s="23" t="n">
        <v>8</v>
      </c>
      <c r="G166" s="23" t="n">
        <v>8</v>
      </c>
      <c r="H166" s="12" t="s">
        <v>235</v>
      </c>
      <c r="I166" s="23" t="s">
        <v>128</v>
      </c>
      <c r="J166" s="24" t="s">
        <v>129</v>
      </c>
      <c r="K166" s="25" t="n">
        <f aca="false">IF(J166="Y",1,IF(E166="fixed",F166,IF(I166+1&lt;=127,1,F166)))</f>
        <v>8</v>
      </c>
      <c r="L166" s="25" t="n">
        <f aca="false">N165</f>
        <v>24</v>
      </c>
      <c r="M166" s="25" t="n">
        <f aca="false">IF(J166="Y",0,MOD(K166-MOD(L166,K166),K166))</f>
        <v>0</v>
      </c>
      <c r="N166" s="25" t="n">
        <f aca="false">L166+M166+IF(J166="Y",0,IF(E166="fixed",G166,IF(I166+1&lt;=127,I166+1,I166+4)))</f>
        <v>32</v>
      </c>
      <c r="O166" s="25" t="n">
        <f aca="false">IF(J166="Y",0,IF(E166="fixed",G166,IF(I166+1&lt;=127,I166+1,I166+4)))</f>
        <v>8</v>
      </c>
    </row>
    <row r="167" customFormat="false" ht="15" hidden="false" customHeight="false" outlineLevel="0" collapsed="false">
      <c r="A167" s="10" t="s">
        <v>275</v>
      </c>
      <c r="B167" s="23" t="n">
        <v>2</v>
      </c>
      <c r="C167" s="21" t="s">
        <v>236</v>
      </c>
      <c r="D167" s="10" t="s">
        <v>125</v>
      </c>
      <c r="E167" s="23" t="s">
        <v>126</v>
      </c>
      <c r="F167" s="23" t="n">
        <v>8</v>
      </c>
      <c r="G167" s="23" t="n">
        <v>8</v>
      </c>
      <c r="H167" s="12" t="s">
        <v>237</v>
      </c>
      <c r="I167" s="23" t="s">
        <v>128</v>
      </c>
      <c r="J167" s="24" t="s">
        <v>129</v>
      </c>
      <c r="K167" s="25" t="n">
        <f aca="false">IF(J167="Y",1,IF(E167="fixed",F167,IF(I167+1&lt;=127,1,F167)))</f>
        <v>8</v>
      </c>
      <c r="L167" s="25" t="n">
        <f aca="false">N166</f>
        <v>32</v>
      </c>
      <c r="M167" s="25" t="n">
        <f aca="false">IF(J167="Y",0,MOD(K167-MOD(L167,K167),K167))</f>
        <v>0</v>
      </c>
      <c r="N167" s="25" t="n">
        <f aca="false">L167+M167+IF(J167="Y",0,IF(E167="fixed",G167,IF(I167+1&lt;=127,I167+1,I167+4)))</f>
        <v>40</v>
      </c>
      <c r="O167" s="25" t="n">
        <f aca="false">IF(J167="Y",0,IF(E167="fixed",G167,IF(I167+1&lt;=127,I167+1,I167+4)))</f>
        <v>8</v>
      </c>
    </row>
    <row r="168" customFormat="false" ht="15" hidden="false" customHeight="false" outlineLevel="0" collapsed="false">
      <c r="A168" s="10" t="s">
        <v>275</v>
      </c>
      <c r="B168" s="23" t="n">
        <v>3</v>
      </c>
      <c r="C168" s="21" t="s">
        <v>278</v>
      </c>
      <c r="D168" s="10" t="s">
        <v>239</v>
      </c>
      <c r="E168" s="23" t="s">
        <v>132</v>
      </c>
      <c r="F168" s="23" t="n">
        <v>4</v>
      </c>
      <c r="G168" s="23" t="s">
        <v>128</v>
      </c>
      <c r="H168" s="12" t="s">
        <v>279</v>
      </c>
      <c r="I168" s="26" t="n">
        <v>14</v>
      </c>
      <c r="J168" s="24" t="s">
        <v>129</v>
      </c>
      <c r="K168" s="25" t="n">
        <f aca="false">IF(J168="Y",1,IF(E168="fixed",F168,IF(I168+1&lt;=127,1,F168)))</f>
        <v>1</v>
      </c>
      <c r="L168" s="25" t="n">
        <f aca="false">N167</f>
        <v>40</v>
      </c>
      <c r="M168" s="25" t="n">
        <f aca="false">IF(J168="Y",0,MOD(K168-MOD(L168,K168),K168))</f>
        <v>0</v>
      </c>
      <c r="N168" s="25" t="n">
        <f aca="false">L168+M168+IF(J168="Y",0,IF(E168="fixed",G168,IF(I168+1&lt;=127,I168+1,I168+4)))</f>
        <v>55</v>
      </c>
      <c r="O168" s="25" t="n">
        <f aca="false">IF(J168="Y",0,IF(E168="fixed",G168,IF(I168+1&lt;=127,I168+1,I168+4)))</f>
        <v>15</v>
      </c>
    </row>
    <row r="169" customFormat="false" ht="15" hidden="false" customHeight="false" outlineLevel="0" collapsed="false">
      <c r="A169" s="10" t="s">
        <v>275</v>
      </c>
      <c r="B169" s="23" t="n">
        <v>4</v>
      </c>
      <c r="C169" s="21" t="s">
        <v>247</v>
      </c>
      <c r="D169" s="10" t="s">
        <v>125</v>
      </c>
      <c r="E169" s="23" t="s">
        <v>126</v>
      </c>
      <c r="F169" s="23" t="n">
        <v>8</v>
      </c>
      <c r="G169" s="23" t="n">
        <v>8</v>
      </c>
      <c r="H169" s="12" t="s">
        <v>264</v>
      </c>
      <c r="I169" s="23" t="s">
        <v>128</v>
      </c>
      <c r="J169" s="24" t="s">
        <v>129</v>
      </c>
      <c r="K169" s="25" t="n">
        <f aca="false">IF(J169="Y",1,IF(E169="fixed",F169,IF(I169+1&lt;=127,1,F169)))</f>
        <v>8</v>
      </c>
      <c r="L169" s="25" t="n">
        <f aca="false">N168</f>
        <v>55</v>
      </c>
      <c r="M169" s="25" t="n">
        <f aca="false">IF(J169="Y",0,MOD(K169-MOD(L169,K169),K169))</f>
        <v>1</v>
      </c>
      <c r="N169" s="25" t="n">
        <f aca="false">L169+M169+IF(J169="Y",0,IF(E169="fixed",G169,IF(I169+1&lt;=127,I169+1,I169+4)))</f>
        <v>64</v>
      </c>
      <c r="O169" s="25" t="n">
        <f aca="false">IF(J169="Y",0,IF(E169="fixed",G169,IF(I169+1&lt;=127,I169+1,I169+4)))</f>
        <v>8</v>
      </c>
    </row>
    <row r="170" customFormat="false" ht="15" hidden="false" customHeight="false" outlineLevel="0" collapsed="false">
      <c r="A170" s="10" t="s">
        <v>275</v>
      </c>
      <c r="B170" s="23" t="n">
        <v>5</v>
      </c>
      <c r="C170" s="21" t="s">
        <v>249</v>
      </c>
      <c r="D170" s="10" t="s">
        <v>250</v>
      </c>
      <c r="E170" s="23" t="s">
        <v>126</v>
      </c>
      <c r="F170" s="23" t="n">
        <v>8</v>
      </c>
      <c r="G170" s="23" t="n">
        <v>8</v>
      </c>
      <c r="H170" s="12" t="s">
        <v>251</v>
      </c>
      <c r="I170" s="23" t="s">
        <v>128</v>
      </c>
      <c r="J170" s="24" t="s">
        <v>129</v>
      </c>
      <c r="K170" s="25" t="n">
        <f aca="false">IF(J170="Y",1,IF(E170="fixed",F170,IF(I170+1&lt;=127,1,F170)))</f>
        <v>8</v>
      </c>
      <c r="L170" s="25" t="n">
        <f aca="false">N169</f>
        <v>64</v>
      </c>
      <c r="M170" s="25" t="n">
        <f aca="false">IF(J170="Y",0,MOD(K170-MOD(L170,K170),K170))</f>
        <v>0</v>
      </c>
      <c r="N170" s="25" t="n">
        <f aca="false">L170+M170+IF(J170="Y",0,IF(E170="fixed",G170,IF(I170+1&lt;=127,I170+1,I170+4)))</f>
        <v>72</v>
      </c>
      <c r="O170" s="25" t="n">
        <f aca="false">IF(J170="Y",0,IF(E170="fixed",G170,IF(I170+1&lt;=127,I170+1,I170+4)))</f>
        <v>8</v>
      </c>
    </row>
    <row r="171" customFormat="false" ht="15" hidden="false" customHeight="false" outlineLevel="0" collapsed="false">
      <c r="A171" s="10" t="s">
        <v>275</v>
      </c>
      <c r="B171" s="23" t="n">
        <v>6</v>
      </c>
      <c r="C171" s="21" t="s">
        <v>200</v>
      </c>
      <c r="D171" s="10" t="s">
        <v>250</v>
      </c>
      <c r="E171" s="23" t="s">
        <v>126</v>
      </c>
      <c r="F171" s="23" t="n">
        <v>8</v>
      </c>
      <c r="G171" s="23" t="n">
        <v>8</v>
      </c>
      <c r="H171" s="12" t="s">
        <v>252</v>
      </c>
      <c r="I171" s="23" t="s">
        <v>128</v>
      </c>
      <c r="J171" s="24" t="s">
        <v>129</v>
      </c>
      <c r="K171" s="25" t="n">
        <f aca="false">IF(J171="Y",1,IF(E171="fixed",F171,IF(I171+1&lt;=127,1,F171)))</f>
        <v>8</v>
      </c>
      <c r="L171" s="25" t="n">
        <f aca="false">N170</f>
        <v>72</v>
      </c>
      <c r="M171" s="25" t="n">
        <f aca="false">IF(J171="Y",0,MOD(K171-MOD(L171,K171),K171))</f>
        <v>0</v>
      </c>
      <c r="N171" s="25" t="n">
        <f aca="false">L171+M171+IF(J171="Y",0,IF(E171="fixed",G171,IF(I171+1&lt;=127,I171+1,I171+4)))</f>
        <v>80</v>
      </c>
      <c r="O171" s="25" t="n">
        <f aca="false">IF(J171="Y",0,IF(E171="fixed",G171,IF(I171+1&lt;=127,I171+1,I171+4)))</f>
        <v>8</v>
      </c>
    </row>
    <row r="172" customFormat="false" ht="15" hidden="false" customHeight="false" outlineLevel="0" collapsed="false">
      <c r="A172" s="10" t="s">
        <v>275</v>
      </c>
      <c r="B172" s="23" t="n">
        <v>7</v>
      </c>
      <c r="C172" s="21" t="s">
        <v>196</v>
      </c>
      <c r="D172" s="10" t="s">
        <v>250</v>
      </c>
      <c r="E172" s="23" t="s">
        <v>126</v>
      </c>
      <c r="F172" s="23" t="n">
        <v>8</v>
      </c>
      <c r="G172" s="23" t="n">
        <v>8</v>
      </c>
      <c r="H172" s="12" t="s">
        <v>253</v>
      </c>
      <c r="I172" s="23" t="s">
        <v>128</v>
      </c>
      <c r="J172" s="24" t="s">
        <v>129</v>
      </c>
      <c r="K172" s="25" t="n">
        <f aca="false">IF(J172="Y",1,IF(E172="fixed",F172,IF(I172+1&lt;=127,1,F172)))</f>
        <v>8</v>
      </c>
      <c r="L172" s="25" t="n">
        <f aca="false">N171</f>
        <v>80</v>
      </c>
      <c r="M172" s="25" t="n">
        <f aca="false">IF(J172="Y",0,MOD(K172-MOD(L172,K172),K172))</f>
        <v>0</v>
      </c>
      <c r="N172" s="25" t="n">
        <f aca="false">L172+M172+IF(J172="Y",0,IF(E172="fixed",G172,IF(I172+1&lt;=127,I172+1,I172+4)))</f>
        <v>88</v>
      </c>
      <c r="O172" s="25" t="n">
        <f aca="false">IF(J172="Y",0,IF(E172="fixed",G172,IF(I172+1&lt;=127,I172+1,I172+4)))</f>
        <v>8</v>
      </c>
    </row>
    <row r="173" customFormat="false" ht="15" hidden="false" customHeight="false" outlineLevel="0" collapsed="false">
      <c r="A173" s="10" t="s">
        <v>275</v>
      </c>
      <c r="B173" s="23" t="n">
        <v>8</v>
      </c>
      <c r="C173" s="21" t="s">
        <v>137</v>
      </c>
      <c r="D173" s="10" t="s">
        <v>222</v>
      </c>
      <c r="E173" s="23" t="s">
        <v>132</v>
      </c>
      <c r="F173" s="23" t="n">
        <v>4</v>
      </c>
      <c r="G173" s="23" t="s">
        <v>128</v>
      </c>
      <c r="H173" s="12" t="s">
        <v>254</v>
      </c>
      <c r="I173" s="26" t="n">
        <v>9</v>
      </c>
      <c r="J173" s="24" t="s">
        <v>129</v>
      </c>
      <c r="K173" s="25" t="n">
        <f aca="false">IF(J173="Y",1,IF(E173="fixed",F173,IF(I173+1&lt;=127,1,F173)))</f>
        <v>1</v>
      </c>
      <c r="L173" s="25" t="n">
        <f aca="false">N172</f>
        <v>88</v>
      </c>
      <c r="M173" s="25" t="n">
        <f aca="false">IF(J173="Y",0,MOD(K173-MOD(L173,K173),K173))</f>
        <v>0</v>
      </c>
      <c r="N173" s="25" t="n">
        <f aca="false">L173+M173+IF(J173="Y",0,IF(E173="fixed",G173,IF(I173+1&lt;=127,I173+1,I173+4)))</f>
        <v>98</v>
      </c>
      <c r="O173" s="25" t="n">
        <f aca="false">IF(J173="Y",0,IF(E173="fixed",G173,IF(I173+1&lt;=127,I173+1,I173+4)))</f>
        <v>10</v>
      </c>
    </row>
    <row r="174" customFormat="false" ht="15" hidden="false" customHeight="false" outlineLevel="0" collapsed="false">
      <c r="A174" s="10" t="s">
        <v>275</v>
      </c>
      <c r="B174" s="23" t="n">
        <v>9</v>
      </c>
      <c r="C174" s="21" t="s">
        <v>280</v>
      </c>
      <c r="D174" s="10" t="s">
        <v>125</v>
      </c>
      <c r="E174" s="23" t="s">
        <v>126</v>
      </c>
      <c r="F174" s="23" t="n">
        <v>8</v>
      </c>
      <c r="G174" s="23" t="n">
        <v>8</v>
      </c>
      <c r="H174" s="12" t="s">
        <v>281</v>
      </c>
      <c r="I174" s="23" t="s">
        <v>128</v>
      </c>
      <c r="J174" s="24" t="s">
        <v>129</v>
      </c>
      <c r="K174" s="25" t="n">
        <f aca="false">IF(J174="Y",1,IF(E174="fixed",F174,IF(I174+1&lt;=127,1,F174)))</f>
        <v>8</v>
      </c>
      <c r="L174" s="25" t="n">
        <f aca="false">N173</f>
        <v>98</v>
      </c>
      <c r="M174" s="25" t="n">
        <f aca="false">IF(J174="Y",0,MOD(K174-MOD(L174,K174),K174))</f>
        <v>6</v>
      </c>
      <c r="N174" s="25" t="n">
        <f aca="false">L174+M174+IF(J174="Y",0,IF(E174="fixed",G174,IF(I174+1&lt;=127,I174+1,I174+4)))</f>
        <v>112</v>
      </c>
      <c r="O174" s="25" t="n">
        <f aca="false">IF(J174="Y",0,IF(E174="fixed",G174,IF(I174+1&lt;=127,I174+1,I174+4)))</f>
        <v>8</v>
      </c>
    </row>
    <row r="175" customFormat="false" ht="15" hidden="false" customHeight="false" outlineLevel="0" collapsed="false">
      <c r="A175" s="10" t="s">
        <v>275</v>
      </c>
      <c r="B175" s="23" t="n">
        <v>10</v>
      </c>
      <c r="C175" s="21" t="s">
        <v>282</v>
      </c>
      <c r="D175" s="10" t="s">
        <v>125</v>
      </c>
      <c r="E175" s="23" t="s">
        <v>126</v>
      </c>
      <c r="F175" s="23" t="n">
        <v>8</v>
      </c>
      <c r="G175" s="23" t="n">
        <v>8</v>
      </c>
      <c r="H175" s="12" t="s">
        <v>281</v>
      </c>
      <c r="I175" s="23" t="s">
        <v>128</v>
      </c>
      <c r="J175" s="24" t="s">
        <v>129</v>
      </c>
      <c r="K175" s="25" t="n">
        <f aca="false">IF(J175="Y",1,IF(E175="fixed",F175,IF(I175+1&lt;=127,1,F175)))</f>
        <v>8</v>
      </c>
      <c r="L175" s="25" t="n">
        <f aca="false">N174</f>
        <v>112</v>
      </c>
      <c r="M175" s="25" t="n">
        <f aca="false">IF(J175="Y",0,MOD(K175-MOD(L175,K175),K175))</f>
        <v>0</v>
      </c>
      <c r="N175" s="25" t="n">
        <f aca="false">L175+M175+IF(J175="Y",0,IF(E175="fixed",G175,IF(I175+1&lt;=127,I175+1,I175+4)))</f>
        <v>120</v>
      </c>
      <c r="O175" s="25" t="n">
        <f aca="false">IF(J175="Y",0,IF(E175="fixed",G175,IF(I175+1&lt;=127,I175+1,I175+4)))</f>
        <v>8</v>
      </c>
    </row>
    <row r="176" customFormat="false" ht="15" hidden="false" customHeight="false" outlineLevel="0" collapsed="false">
      <c r="A176" s="10" t="s">
        <v>275</v>
      </c>
      <c r="B176" s="23" t="n">
        <v>11</v>
      </c>
      <c r="C176" s="21" t="s">
        <v>283</v>
      </c>
      <c r="D176" s="10" t="s">
        <v>125</v>
      </c>
      <c r="E176" s="23" t="s">
        <v>126</v>
      </c>
      <c r="F176" s="23" t="n">
        <v>8</v>
      </c>
      <c r="G176" s="23" t="n">
        <v>8</v>
      </c>
      <c r="H176" s="12" t="s">
        <v>281</v>
      </c>
      <c r="I176" s="23" t="s">
        <v>128</v>
      </c>
      <c r="J176" s="24" t="s">
        <v>129</v>
      </c>
      <c r="K176" s="25" t="n">
        <f aca="false">IF(J176="Y",1,IF(E176="fixed",F176,IF(I176+1&lt;=127,1,F176)))</f>
        <v>8</v>
      </c>
      <c r="L176" s="25" t="n">
        <f aca="false">N175</f>
        <v>120</v>
      </c>
      <c r="M176" s="25" t="n">
        <f aca="false">IF(J176="Y",0,MOD(K176-MOD(L176,K176),K176))</f>
        <v>0</v>
      </c>
      <c r="N176" s="25" t="n">
        <f aca="false">L176+M176+IF(J176="Y",0,IF(E176="fixed",G176,IF(I176+1&lt;=127,I176+1,I176+4)))</f>
        <v>128</v>
      </c>
      <c r="O176" s="25" t="n">
        <f aca="false">IF(J176="Y",0,IF(E176="fixed",G176,IF(I176+1&lt;=127,I176+1,I176+4)))</f>
        <v>8</v>
      </c>
    </row>
    <row r="177" customFormat="false" ht="15" hidden="false" customHeight="false" outlineLevel="0" collapsed="false">
      <c r="A177" s="10" t="s">
        <v>275</v>
      </c>
      <c r="B177" s="23" t="n">
        <v>12</v>
      </c>
      <c r="C177" s="21" t="s">
        <v>284</v>
      </c>
      <c r="D177" s="10" t="s">
        <v>125</v>
      </c>
      <c r="E177" s="23" t="s">
        <v>126</v>
      </c>
      <c r="F177" s="23" t="n">
        <v>8</v>
      </c>
      <c r="G177" s="23" t="n">
        <v>8</v>
      </c>
      <c r="H177" s="12" t="s">
        <v>281</v>
      </c>
      <c r="I177" s="23" t="s">
        <v>128</v>
      </c>
      <c r="J177" s="24" t="s">
        <v>129</v>
      </c>
      <c r="K177" s="25" t="n">
        <f aca="false">IF(J177="Y",1,IF(E177="fixed",F177,IF(I177+1&lt;=127,1,F177)))</f>
        <v>8</v>
      </c>
      <c r="L177" s="25" t="n">
        <f aca="false">N176</f>
        <v>128</v>
      </c>
      <c r="M177" s="25" t="n">
        <f aca="false">IF(J177="Y",0,MOD(K177-MOD(L177,K177),K177))</f>
        <v>0</v>
      </c>
      <c r="N177" s="25" t="n">
        <f aca="false">L177+M177+IF(J177="Y",0,IF(E177="fixed",G177,IF(I177+1&lt;=127,I177+1,I177+4)))</f>
        <v>136</v>
      </c>
      <c r="O177" s="25" t="n">
        <f aca="false">IF(J177="Y",0,IF(E177="fixed",G177,IF(I177+1&lt;=127,I177+1,I177+4)))</f>
        <v>8</v>
      </c>
    </row>
    <row r="178" customFormat="false" ht="15" hidden="false" customHeight="false" outlineLevel="0" collapsed="false">
      <c r="A178" s="10" t="s">
        <v>275</v>
      </c>
      <c r="B178" s="23" t="n">
        <v>13</v>
      </c>
      <c r="C178" s="21" t="s">
        <v>285</v>
      </c>
      <c r="D178" s="10" t="s">
        <v>125</v>
      </c>
      <c r="E178" s="23" t="s">
        <v>126</v>
      </c>
      <c r="F178" s="23" t="n">
        <v>8</v>
      </c>
      <c r="G178" s="23" t="n">
        <v>8</v>
      </c>
      <c r="H178" s="12" t="s">
        <v>281</v>
      </c>
      <c r="I178" s="23" t="s">
        <v>128</v>
      </c>
      <c r="J178" s="24" t="s">
        <v>129</v>
      </c>
      <c r="K178" s="25" t="n">
        <f aca="false">IF(J178="Y",1,IF(E178="fixed",F178,IF(I178+1&lt;=127,1,F178)))</f>
        <v>8</v>
      </c>
      <c r="L178" s="25" t="n">
        <f aca="false">N177</f>
        <v>136</v>
      </c>
      <c r="M178" s="25" t="n">
        <f aca="false">IF(J178="Y",0,MOD(K178-MOD(L178,K178),K178))</f>
        <v>0</v>
      </c>
      <c r="N178" s="25" t="n">
        <f aca="false">L178+M178+IF(J178="Y",0,IF(E178="fixed",G178,IF(I178+1&lt;=127,I178+1,I178+4)))</f>
        <v>144</v>
      </c>
      <c r="O178" s="25" t="n">
        <f aca="false">IF(J178="Y",0,IF(E178="fixed",G178,IF(I178+1&lt;=127,I178+1,I178+4)))</f>
        <v>8</v>
      </c>
    </row>
    <row r="179" customFormat="false" ht="15" hidden="false" customHeight="false" outlineLevel="0" collapsed="false">
      <c r="A179" s="10" t="s">
        <v>275</v>
      </c>
      <c r="B179" s="23" t="n">
        <v>14</v>
      </c>
      <c r="C179" s="21" t="s">
        <v>286</v>
      </c>
      <c r="D179" s="10" t="s">
        <v>125</v>
      </c>
      <c r="E179" s="23" t="s">
        <v>126</v>
      </c>
      <c r="F179" s="23" t="n">
        <v>8</v>
      </c>
      <c r="G179" s="23" t="n">
        <v>8</v>
      </c>
      <c r="H179" s="12" t="s">
        <v>281</v>
      </c>
      <c r="I179" s="23" t="s">
        <v>128</v>
      </c>
      <c r="J179" s="24" t="s">
        <v>129</v>
      </c>
      <c r="K179" s="25" t="n">
        <f aca="false">IF(J179="Y",1,IF(E179="fixed",F179,IF(I179+1&lt;=127,1,F179)))</f>
        <v>8</v>
      </c>
      <c r="L179" s="25" t="n">
        <f aca="false">N178</f>
        <v>144</v>
      </c>
      <c r="M179" s="25" t="n">
        <f aca="false">IF(J179="Y",0,MOD(K179-MOD(L179,K179),K179))</f>
        <v>0</v>
      </c>
      <c r="N179" s="25" t="n">
        <f aca="false">L179+M179+IF(J179="Y",0,IF(E179="fixed",G179,IF(I179+1&lt;=127,I179+1,I179+4)))</f>
        <v>152</v>
      </c>
      <c r="O179" s="25" t="n">
        <f aca="false">IF(J179="Y",0,IF(E179="fixed",G179,IF(I179+1&lt;=127,I179+1,I179+4)))</f>
        <v>8</v>
      </c>
    </row>
    <row r="180" customFormat="false" ht="15" hidden="false" customHeight="false" outlineLevel="0" collapsed="false">
      <c r="A180" s="10" t="s">
        <v>275</v>
      </c>
      <c r="B180" s="23" t="n">
        <v>15</v>
      </c>
      <c r="C180" s="21" t="s">
        <v>287</v>
      </c>
      <c r="D180" s="10" t="s">
        <v>125</v>
      </c>
      <c r="E180" s="23" t="s">
        <v>126</v>
      </c>
      <c r="F180" s="23" t="n">
        <v>8</v>
      </c>
      <c r="G180" s="23" t="n">
        <v>8</v>
      </c>
      <c r="H180" s="12" t="s">
        <v>281</v>
      </c>
      <c r="I180" s="23" t="s">
        <v>128</v>
      </c>
      <c r="J180" s="24" t="s">
        <v>129</v>
      </c>
      <c r="K180" s="25" t="n">
        <f aca="false">IF(J180="Y",1,IF(E180="fixed",F180,IF(I180+1&lt;=127,1,F180)))</f>
        <v>8</v>
      </c>
      <c r="L180" s="25" t="n">
        <f aca="false">N179</f>
        <v>152</v>
      </c>
      <c r="M180" s="25" t="n">
        <f aca="false">IF(J180="Y",0,MOD(K180-MOD(L180,K180),K180))</f>
        <v>0</v>
      </c>
      <c r="N180" s="25" t="n">
        <f aca="false">L180+M180+IF(J180="Y",0,IF(E180="fixed",G180,IF(I180+1&lt;=127,I180+1,I180+4)))</f>
        <v>160</v>
      </c>
      <c r="O180" s="25" t="n">
        <f aca="false">IF(J180="Y",0,IF(E180="fixed",G180,IF(I180+1&lt;=127,I180+1,I180+4)))</f>
        <v>8</v>
      </c>
    </row>
    <row r="181" customFormat="false" ht="15" hidden="false" customHeight="false" outlineLevel="0" collapsed="false">
      <c r="A181" s="10" t="s">
        <v>275</v>
      </c>
      <c r="B181" s="23" t="n">
        <v>16</v>
      </c>
      <c r="C181" s="21" t="s">
        <v>288</v>
      </c>
      <c r="D181" s="10" t="s">
        <v>125</v>
      </c>
      <c r="E181" s="23" t="s">
        <v>126</v>
      </c>
      <c r="F181" s="23" t="n">
        <v>8</v>
      </c>
      <c r="G181" s="23" t="n">
        <v>8</v>
      </c>
      <c r="H181" s="12" t="s">
        <v>281</v>
      </c>
      <c r="I181" s="23" t="s">
        <v>128</v>
      </c>
      <c r="J181" s="24" t="s">
        <v>129</v>
      </c>
      <c r="K181" s="25" t="n">
        <f aca="false">IF(J181="Y",1,IF(E181="fixed",F181,IF(I181+1&lt;=127,1,F181)))</f>
        <v>8</v>
      </c>
      <c r="L181" s="25" t="n">
        <f aca="false">N180</f>
        <v>160</v>
      </c>
      <c r="M181" s="25" t="n">
        <f aca="false">IF(J181="Y",0,MOD(K181-MOD(L181,K181),K181))</f>
        <v>0</v>
      </c>
      <c r="N181" s="25" t="n">
        <f aca="false">L181+M181+IF(J181="Y",0,IF(E181="fixed",G181,IF(I181+1&lt;=127,I181+1,I181+4)))</f>
        <v>168</v>
      </c>
      <c r="O181" s="25" t="n">
        <f aca="false">IF(J181="Y",0,IF(E181="fixed",G181,IF(I181+1&lt;=127,I181+1,I181+4)))</f>
        <v>8</v>
      </c>
    </row>
    <row r="182" customFormat="false" ht="15" hidden="false" customHeight="false" outlineLevel="0" collapsed="false">
      <c r="A182" s="10" t="s">
        <v>275</v>
      </c>
      <c r="B182" s="23" t="n">
        <v>17</v>
      </c>
      <c r="C182" s="21" t="s">
        <v>255</v>
      </c>
      <c r="D182" s="10" t="s">
        <v>256</v>
      </c>
      <c r="E182" s="23" t="s">
        <v>132</v>
      </c>
      <c r="F182" s="23" t="n">
        <v>4</v>
      </c>
      <c r="G182" s="23" t="s">
        <v>128</v>
      </c>
      <c r="H182" s="12" t="s">
        <v>254</v>
      </c>
      <c r="I182" s="26" t="n">
        <v>9</v>
      </c>
      <c r="J182" s="24" t="s">
        <v>129</v>
      </c>
      <c r="K182" s="25" t="n">
        <f aca="false">IF(J182="Y",1,IF(E182="fixed",F182,IF(I182+1&lt;=127,1,F182)))</f>
        <v>1</v>
      </c>
      <c r="L182" s="25" t="n">
        <f aca="false">N181</f>
        <v>168</v>
      </c>
      <c r="M182" s="25" t="n">
        <f aca="false">IF(J182="Y",0,MOD(K182-MOD(L182,K182),K182))</f>
        <v>0</v>
      </c>
      <c r="N182" s="25" t="n">
        <f aca="false">L182+M182+IF(J182="Y",0,IF(E182="fixed",G182,IF(I182+1&lt;=127,I182+1,I182+4)))</f>
        <v>178</v>
      </c>
      <c r="O182" s="25" t="n">
        <f aca="false">IF(J182="Y",0,IF(E182="fixed",G182,IF(I182+1&lt;=127,I182+1,I182+4)))</f>
        <v>10</v>
      </c>
    </row>
    <row r="183" customFormat="false" ht="15" hidden="false" customHeight="false" outlineLevel="0" collapsed="false">
      <c r="A183" s="10" t="s">
        <v>275</v>
      </c>
      <c r="B183" s="23" t="n">
        <v>18</v>
      </c>
      <c r="C183" s="21" t="s">
        <v>257</v>
      </c>
      <c r="D183" s="10" t="s">
        <v>256</v>
      </c>
      <c r="E183" s="23" t="s">
        <v>132</v>
      </c>
      <c r="F183" s="23" t="n">
        <v>4</v>
      </c>
      <c r="G183" s="23" t="s">
        <v>128</v>
      </c>
      <c r="H183" s="12" t="s">
        <v>258</v>
      </c>
      <c r="I183" s="26" t="n">
        <v>0</v>
      </c>
      <c r="J183" s="24" t="s">
        <v>129</v>
      </c>
      <c r="K183" s="25" t="n">
        <f aca="false">IF(J183="Y",1,IF(E183="fixed",F183,IF(I183+1&lt;=127,1,F183)))</f>
        <v>1</v>
      </c>
      <c r="L183" s="25" t="n">
        <f aca="false">N182</f>
        <v>178</v>
      </c>
      <c r="M183" s="25" t="n">
        <f aca="false">IF(J183="Y",0,MOD(K183-MOD(L183,K183),K183))</f>
        <v>0</v>
      </c>
      <c r="N183" s="25" t="n">
        <f aca="false">L183+M183+IF(J183="Y",0,IF(E183="fixed",G183,IF(I183+1&lt;=127,I183+1,I183+4)))</f>
        <v>179</v>
      </c>
      <c r="O183" s="25" t="n">
        <f aca="false">IF(J183="Y",0,IF(E183="fixed",G183,IF(I183+1&lt;=127,I183+1,I183+4)))</f>
        <v>1</v>
      </c>
    </row>
    <row r="184" customFormat="false" ht="15" hidden="false" customHeight="false" outlineLevel="0" collapsed="false">
      <c r="A184" s="10" t="s">
        <v>275</v>
      </c>
      <c r="B184" s="23" t="n">
        <v>19</v>
      </c>
      <c r="C184" s="21" t="s">
        <v>259</v>
      </c>
      <c r="D184" s="10" t="s">
        <v>250</v>
      </c>
      <c r="E184" s="23" t="s">
        <v>126</v>
      </c>
      <c r="F184" s="23" t="n">
        <v>8</v>
      </c>
      <c r="G184" s="23" t="n">
        <v>8</v>
      </c>
      <c r="H184" s="12" t="s">
        <v>260</v>
      </c>
      <c r="I184" s="23" t="s">
        <v>128</v>
      </c>
      <c r="J184" s="24" t="s">
        <v>129</v>
      </c>
      <c r="K184" s="25" t="n">
        <f aca="false">IF(J184="Y",1,IF(E184="fixed",F184,IF(I184+1&lt;=127,1,F184)))</f>
        <v>8</v>
      </c>
      <c r="L184" s="25" t="n">
        <f aca="false">N183</f>
        <v>179</v>
      </c>
      <c r="M184" s="25" t="n">
        <f aca="false">IF(J184="Y",0,MOD(K184-MOD(L184,K184),K184))</f>
        <v>5</v>
      </c>
      <c r="N184" s="25" t="n">
        <f aca="false">L184+M184+IF(J184="Y",0,IF(E184="fixed",G184,IF(I184+1&lt;=127,I184+1,I184+4)))</f>
        <v>192</v>
      </c>
      <c r="O184" s="25" t="n">
        <f aca="false">IF(J184="Y",0,IF(E184="fixed",G184,IF(I184+1&lt;=127,I184+1,I184+4)))</f>
        <v>8</v>
      </c>
    </row>
    <row r="185" customFormat="false" ht="15" hidden="false" customHeight="false" outlineLevel="0" collapsed="false">
      <c r="C185" s="10" t="s">
        <v>158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25" t="n">
        <f aca="false">SUM(O166:O184)</f>
        <v>156</v>
      </c>
    </row>
    <row r="186" customFormat="false" ht="15" hidden="false" customHeight="false" outlineLevel="0" collapsed="false">
      <c r="C186" s="10" t="s">
        <v>159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25" t="n">
        <f aca="false">SUM(M166:M184)</f>
        <v>12</v>
      </c>
    </row>
    <row r="187" customFormat="false" ht="15" hidden="false" customHeight="false" outlineLevel="0" collapsed="false">
      <c r="C187" s="10" t="s">
        <v>160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25" t="n">
        <f aca="false">N184</f>
        <v>192</v>
      </c>
    </row>
    <row r="188" customFormat="false" ht="15" hidden="false" customHeight="false" outlineLevel="0" collapsed="false">
      <c r="C188" s="10" t="s">
        <v>161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25" t="n">
        <f aca="false">ROUNDUP(N184/8,0)*8</f>
        <v>192</v>
      </c>
    </row>
    <row r="189" customFormat="false" ht="15" hidden="false" customHeight="false" outlineLevel="0" collapsed="false">
      <c r="C189" s="10" t="s">
        <v>162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25" t="n">
        <f aca="false">N188+4</f>
        <v>196</v>
      </c>
    </row>
    <row r="190" customFormat="false" ht="15" hidden="false" customHeight="false" outlineLevel="0" collapsed="false">
      <c r="C190" s="10" t="s">
        <v>163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25" t="n">
        <f aca="false">INT((Assumptions!$B$16-Assumptions!$B$17)/N189)</f>
        <v>41</v>
      </c>
    </row>
    <row r="191" customFormat="false" ht="15" hidden="false" customHeight="false" outlineLevel="0" collapsed="false">
      <c r="C191" s="21" t="s">
        <v>164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7" t="n">
        <f aca="false">Assumptions!$B$16/N190</f>
        <v>199.804878048781</v>
      </c>
    </row>
    <row r="194" customFormat="false" ht="15" hidden="false" customHeight="false" outlineLevel="0" collapsed="false">
      <c r="A194" s="8" t="s">
        <v>289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customFormat="false" ht="42" hidden="false" customHeight="true" outlineLevel="0" collapsed="false">
      <c r="A195" s="7" t="s">
        <v>106</v>
      </c>
      <c r="B195" s="7" t="s">
        <v>107</v>
      </c>
      <c r="C195" s="7" t="s">
        <v>108</v>
      </c>
      <c r="D195" s="7" t="s">
        <v>109</v>
      </c>
      <c r="E195" s="7" t="s">
        <v>110</v>
      </c>
      <c r="F195" s="7" t="s">
        <v>111</v>
      </c>
      <c r="G195" s="7" t="s">
        <v>112</v>
      </c>
      <c r="H195" s="7" t="s">
        <v>113</v>
      </c>
      <c r="I195" s="7" t="s">
        <v>114</v>
      </c>
      <c r="J195" s="7" t="s">
        <v>115</v>
      </c>
      <c r="K195" s="7" t="s">
        <v>116</v>
      </c>
      <c r="L195" s="7" t="s">
        <v>117</v>
      </c>
      <c r="M195" s="7" t="s">
        <v>118</v>
      </c>
      <c r="N195" s="7" t="s">
        <v>119</v>
      </c>
    </row>
    <row r="196" customFormat="false" ht="30" hidden="false" customHeight="true" outlineLevel="0" collapsed="false">
      <c r="A196" s="21" t="s">
        <v>290</v>
      </c>
      <c r="C196" s="21" t="s">
        <v>121</v>
      </c>
      <c r="D196" s="12" t="s">
        <v>291</v>
      </c>
      <c r="H196" s="12" t="s">
        <v>123</v>
      </c>
      <c r="N196" s="22" t="n">
        <f aca="false">ROUNDUP((23+IF(COUNTIF(J197:J199,"Y")&gt;0,ROUNDUP(3/8,0),0))/8,0)*8</f>
        <v>24</v>
      </c>
    </row>
    <row r="197" customFormat="false" ht="15" hidden="false" customHeight="false" outlineLevel="0" collapsed="false">
      <c r="A197" s="10" t="s">
        <v>290</v>
      </c>
      <c r="B197" s="23" t="n">
        <v>1</v>
      </c>
      <c r="C197" s="21" t="s">
        <v>247</v>
      </c>
      <c r="D197" s="10" t="s">
        <v>125</v>
      </c>
      <c r="E197" s="23" t="s">
        <v>126</v>
      </c>
      <c r="F197" s="23" t="n">
        <v>8</v>
      </c>
      <c r="G197" s="23" t="n">
        <v>8</v>
      </c>
      <c r="H197" s="12" t="s">
        <v>235</v>
      </c>
      <c r="I197" s="23" t="s">
        <v>128</v>
      </c>
      <c r="J197" s="24" t="s">
        <v>129</v>
      </c>
      <c r="K197" s="25" t="n">
        <f aca="false">IF(J197="Y",1,IF(E197="fixed",F197,IF(I197+1&lt;=127,1,F197)))</f>
        <v>8</v>
      </c>
      <c r="L197" s="25" t="n">
        <f aca="false">N196</f>
        <v>24</v>
      </c>
      <c r="M197" s="25" t="n">
        <f aca="false">IF(J197="Y",0,MOD(K197-MOD(L197,K197),K197))</f>
        <v>0</v>
      </c>
      <c r="N197" s="25" t="n">
        <f aca="false">L197+M197+IF(J197="Y",0,IF(E197="fixed",G197,IF(I197+1&lt;=127,I197+1,I197+4)))</f>
        <v>32</v>
      </c>
      <c r="O197" s="25" t="n">
        <f aca="false">IF(J197="Y",0,IF(E197="fixed",G197,IF(I197+1&lt;=127,I197+1,I197+4)))</f>
        <v>8</v>
      </c>
    </row>
    <row r="198" customFormat="false" ht="23.85" hidden="false" customHeight="false" outlineLevel="0" collapsed="false">
      <c r="A198" s="10" t="s">
        <v>290</v>
      </c>
      <c r="B198" s="23" t="n">
        <v>2</v>
      </c>
      <c r="C198" s="21" t="s">
        <v>292</v>
      </c>
      <c r="D198" s="10" t="s">
        <v>256</v>
      </c>
      <c r="E198" s="23" t="s">
        <v>132</v>
      </c>
      <c r="F198" s="23" t="n">
        <v>4</v>
      </c>
      <c r="G198" s="23" t="s">
        <v>128</v>
      </c>
      <c r="H198" s="12" t="s">
        <v>293</v>
      </c>
      <c r="I198" s="26" t="n">
        <v>100</v>
      </c>
      <c r="J198" s="24" t="s">
        <v>129</v>
      </c>
      <c r="K198" s="25" t="n">
        <f aca="false">IF(J198="Y",1,IF(E198="fixed",F198,IF(I198+1&lt;=127,1,F198)))</f>
        <v>1</v>
      </c>
      <c r="L198" s="25" t="n">
        <f aca="false">N197</f>
        <v>32</v>
      </c>
      <c r="M198" s="25" t="n">
        <f aca="false">IF(J198="Y",0,MOD(K198-MOD(L198,K198),K198))</f>
        <v>0</v>
      </c>
      <c r="N198" s="25" t="n">
        <f aca="false">L198+M198+IF(J198="Y",0,IF(E198="fixed",G198,IF(I198+1&lt;=127,I198+1,I198+4)))</f>
        <v>133</v>
      </c>
      <c r="O198" s="25" t="n">
        <f aca="false">IF(J198="Y",0,IF(E198="fixed",G198,IF(I198+1&lt;=127,I198+1,I198+4)))</f>
        <v>101</v>
      </c>
    </row>
    <row r="199" customFormat="false" ht="15" hidden="false" customHeight="false" outlineLevel="0" collapsed="false">
      <c r="A199" s="10" t="s">
        <v>290</v>
      </c>
      <c r="B199" s="23" t="n">
        <v>3</v>
      </c>
      <c r="C199" s="21" t="s">
        <v>294</v>
      </c>
      <c r="D199" s="10" t="s">
        <v>135</v>
      </c>
      <c r="E199" s="23" t="s">
        <v>132</v>
      </c>
      <c r="F199" s="23" t="n">
        <v>4</v>
      </c>
      <c r="G199" s="23" t="s">
        <v>128</v>
      </c>
      <c r="H199" s="12" t="s">
        <v>295</v>
      </c>
      <c r="I199" s="26" t="n">
        <v>0</v>
      </c>
      <c r="J199" s="24" t="s">
        <v>220</v>
      </c>
      <c r="K199" s="25" t="n">
        <f aca="false">IF(J199="Y",1,IF(E199="fixed",F199,IF(I199+1&lt;=127,1,F199)))</f>
        <v>1</v>
      </c>
      <c r="L199" s="25" t="n">
        <f aca="false">N198</f>
        <v>133</v>
      </c>
      <c r="M199" s="25" t="n">
        <f aca="false">IF(J199="Y",0,MOD(K199-MOD(L199,K199),K199))</f>
        <v>0</v>
      </c>
      <c r="N199" s="25" t="n">
        <f aca="false">L199+M199+IF(J199="Y",0,IF(E199="fixed",G199,IF(I199+1&lt;=127,I199+1,I199+4)))</f>
        <v>133</v>
      </c>
      <c r="O199" s="25" t="n">
        <f aca="false">IF(J199="Y",0,IF(E199="fixed",G199,IF(I199+1&lt;=127,I199+1,I199+4)))</f>
        <v>0</v>
      </c>
    </row>
    <row r="200" customFormat="false" ht="15" hidden="false" customHeight="false" outlineLevel="0" collapsed="false">
      <c r="C200" s="10" t="s">
        <v>158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25" t="n">
        <f aca="false">SUM(O197:O199)</f>
        <v>109</v>
      </c>
    </row>
    <row r="201" customFormat="false" ht="15" hidden="false" customHeight="false" outlineLevel="0" collapsed="false">
      <c r="C201" s="10" t="s">
        <v>159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25" t="n">
        <f aca="false">SUM(M197:M199)</f>
        <v>0</v>
      </c>
    </row>
    <row r="202" customFormat="false" ht="15" hidden="false" customHeight="false" outlineLevel="0" collapsed="false">
      <c r="C202" s="10" t="s">
        <v>160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25" t="n">
        <f aca="false">N199</f>
        <v>133</v>
      </c>
    </row>
    <row r="203" customFormat="false" ht="15" hidden="false" customHeight="false" outlineLevel="0" collapsed="false">
      <c r="C203" s="10" t="s">
        <v>161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25" t="n">
        <f aca="false">ROUNDUP(N199/8,0)*8</f>
        <v>136</v>
      </c>
    </row>
    <row r="204" customFormat="false" ht="15" hidden="false" customHeight="false" outlineLevel="0" collapsed="false">
      <c r="C204" s="10" t="s">
        <v>162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25" t="n">
        <f aca="false">N203+4</f>
        <v>140</v>
      </c>
    </row>
    <row r="205" customFormat="false" ht="15" hidden="false" customHeight="false" outlineLevel="0" collapsed="false">
      <c r="C205" s="10" t="s">
        <v>163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25" t="n">
        <f aca="false">INT((Assumptions!$B$16-Assumptions!$B$17)/N204)</f>
        <v>58</v>
      </c>
    </row>
    <row r="206" customFormat="false" ht="15" hidden="false" customHeight="false" outlineLevel="0" collapsed="false">
      <c r="C206" s="21" t="s">
        <v>164</v>
      </c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7" t="n">
        <f aca="false">Assumptions!$B$16/N205</f>
        <v>141.241379310345</v>
      </c>
    </row>
    <row r="209" customFormat="false" ht="15" hidden="false" customHeight="false" outlineLevel="0" collapsed="false">
      <c r="A209" s="8" t="s">
        <v>296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customFormat="false" ht="42" hidden="false" customHeight="true" outlineLevel="0" collapsed="false">
      <c r="A210" s="7" t="s">
        <v>106</v>
      </c>
      <c r="B210" s="7" t="s">
        <v>107</v>
      </c>
      <c r="C210" s="7" t="s">
        <v>108</v>
      </c>
      <c r="D210" s="7" t="s">
        <v>109</v>
      </c>
      <c r="E210" s="7" t="s">
        <v>110</v>
      </c>
      <c r="F210" s="7" t="s">
        <v>111</v>
      </c>
      <c r="G210" s="7" t="s">
        <v>112</v>
      </c>
      <c r="H210" s="7" t="s">
        <v>113</v>
      </c>
      <c r="I210" s="7" t="s">
        <v>114</v>
      </c>
      <c r="J210" s="7" t="s">
        <v>115</v>
      </c>
      <c r="K210" s="7" t="s">
        <v>116</v>
      </c>
      <c r="L210" s="7" t="s">
        <v>117</v>
      </c>
      <c r="M210" s="7" t="s">
        <v>118</v>
      </c>
      <c r="N210" s="7" t="s">
        <v>119</v>
      </c>
    </row>
    <row r="211" customFormat="false" ht="30" hidden="false" customHeight="true" outlineLevel="0" collapsed="false">
      <c r="A211" s="21" t="s">
        <v>297</v>
      </c>
      <c r="C211" s="21" t="s">
        <v>121</v>
      </c>
      <c r="D211" s="12" t="s">
        <v>291</v>
      </c>
      <c r="H211" s="12" t="s">
        <v>123</v>
      </c>
      <c r="N211" s="22" t="n">
        <f aca="false">ROUNDUP((23+IF(COUNTIF(J212:J214,"Y")&gt;0,ROUNDUP(3/8,0),0))/8,0)*8</f>
        <v>24</v>
      </c>
    </row>
    <row r="212" customFormat="false" ht="15" hidden="false" customHeight="false" outlineLevel="0" collapsed="false">
      <c r="A212" s="10" t="s">
        <v>297</v>
      </c>
      <c r="B212" s="23" t="n">
        <v>1</v>
      </c>
      <c r="C212" s="21" t="s">
        <v>277</v>
      </c>
      <c r="D212" s="10" t="s">
        <v>125</v>
      </c>
      <c r="E212" s="23" t="s">
        <v>126</v>
      </c>
      <c r="F212" s="23" t="n">
        <v>8</v>
      </c>
      <c r="G212" s="23" t="n">
        <v>8</v>
      </c>
      <c r="H212" s="12" t="s">
        <v>235</v>
      </c>
      <c r="I212" s="23" t="s">
        <v>128</v>
      </c>
      <c r="J212" s="24" t="s">
        <v>129</v>
      </c>
      <c r="K212" s="25" t="n">
        <f aca="false">IF(J212="Y",1,IF(E212="fixed",F212,IF(I212+1&lt;=127,1,F212)))</f>
        <v>8</v>
      </c>
      <c r="L212" s="25" t="n">
        <f aca="false">N211</f>
        <v>24</v>
      </c>
      <c r="M212" s="25" t="n">
        <f aca="false">IF(J212="Y",0,MOD(K212-MOD(L212,K212),K212))</f>
        <v>0</v>
      </c>
      <c r="N212" s="25" t="n">
        <f aca="false">L212+M212+IF(J212="Y",0,IF(E212="fixed",G212,IF(I212+1&lt;=127,I212+1,I212+4)))</f>
        <v>32</v>
      </c>
      <c r="O212" s="25" t="n">
        <f aca="false">IF(J212="Y",0,IF(E212="fixed",G212,IF(I212+1&lt;=127,I212+1,I212+4)))</f>
        <v>8</v>
      </c>
    </row>
    <row r="213" customFormat="false" ht="15" hidden="false" customHeight="false" outlineLevel="0" collapsed="false">
      <c r="A213" s="10" t="s">
        <v>297</v>
      </c>
      <c r="B213" s="23" t="n">
        <v>2</v>
      </c>
      <c r="C213" s="21" t="s">
        <v>292</v>
      </c>
      <c r="D213" s="10" t="s">
        <v>256</v>
      </c>
      <c r="E213" s="23" t="s">
        <v>132</v>
      </c>
      <c r="F213" s="23" t="n">
        <v>4</v>
      </c>
      <c r="G213" s="23" t="s">
        <v>128</v>
      </c>
      <c r="H213" s="12" t="s">
        <v>298</v>
      </c>
      <c r="I213" s="26" t="n">
        <v>400</v>
      </c>
      <c r="J213" s="24" t="s">
        <v>129</v>
      </c>
      <c r="K213" s="25" t="n">
        <f aca="false">IF(J213="Y",1,IF(E213="fixed",F213,IF(I213+1&lt;=127,1,F213)))</f>
        <v>4</v>
      </c>
      <c r="L213" s="25" t="n">
        <f aca="false">N212</f>
        <v>32</v>
      </c>
      <c r="M213" s="25" t="n">
        <f aca="false">IF(J213="Y",0,MOD(K213-MOD(L213,K213),K213))</f>
        <v>0</v>
      </c>
      <c r="N213" s="25" t="n">
        <f aca="false">L213+M213+IF(J213="Y",0,IF(E213="fixed",G213,IF(I213+1&lt;=127,I213+1,I213+4)))</f>
        <v>436</v>
      </c>
      <c r="O213" s="25" t="n">
        <f aca="false">IF(J213="Y",0,IF(E213="fixed",G213,IF(I213+1&lt;=127,I213+1,I213+4)))</f>
        <v>404</v>
      </c>
    </row>
    <row r="214" customFormat="false" ht="15" hidden="false" customHeight="false" outlineLevel="0" collapsed="false">
      <c r="A214" s="10" t="s">
        <v>297</v>
      </c>
      <c r="B214" s="23" t="n">
        <v>3</v>
      </c>
      <c r="C214" s="21" t="s">
        <v>294</v>
      </c>
      <c r="D214" s="10" t="s">
        <v>135</v>
      </c>
      <c r="E214" s="23" t="s">
        <v>132</v>
      </c>
      <c r="F214" s="23" t="n">
        <v>4</v>
      </c>
      <c r="G214" s="23" t="s">
        <v>128</v>
      </c>
      <c r="H214" s="12" t="s">
        <v>295</v>
      </c>
      <c r="I214" s="26" t="n">
        <v>0</v>
      </c>
      <c r="J214" s="24" t="s">
        <v>220</v>
      </c>
      <c r="K214" s="25" t="n">
        <f aca="false">IF(J214="Y",1,IF(E214="fixed",F214,IF(I214+1&lt;=127,1,F214)))</f>
        <v>1</v>
      </c>
      <c r="L214" s="25" t="n">
        <f aca="false">N213</f>
        <v>436</v>
      </c>
      <c r="M214" s="25" t="n">
        <f aca="false">IF(J214="Y",0,MOD(K214-MOD(L214,K214),K214))</f>
        <v>0</v>
      </c>
      <c r="N214" s="25" t="n">
        <f aca="false">L214+M214+IF(J214="Y",0,IF(E214="fixed",G214,IF(I214+1&lt;=127,I214+1,I214+4)))</f>
        <v>436</v>
      </c>
      <c r="O214" s="25" t="n">
        <f aca="false">IF(J214="Y",0,IF(E214="fixed",G214,IF(I214+1&lt;=127,I214+1,I214+4)))</f>
        <v>0</v>
      </c>
    </row>
    <row r="215" customFormat="false" ht="15" hidden="false" customHeight="false" outlineLevel="0" collapsed="false">
      <c r="C215" s="10" t="s">
        <v>158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25" t="n">
        <f aca="false">SUM(O212:O214)</f>
        <v>412</v>
      </c>
    </row>
    <row r="216" customFormat="false" ht="15" hidden="false" customHeight="false" outlineLevel="0" collapsed="false">
      <c r="C216" s="10" t="s">
        <v>159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25" t="n">
        <f aca="false">SUM(M212:M214)</f>
        <v>0</v>
      </c>
    </row>
    <row r="217" customFormat="false" ht="15" hidden="false" customHeight="false" outlineLevel="0" collapsed="false">
      <c r="C217" s="10" t="s">
        <v>160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25" t="n">
        <f aca="false">N214</f>
        <v>436</v>
      </c>
    </row>
    <row r="218" customFormat="false" ht="15" hidden="false" customHeight="false" outlineLevel="0" collapsed="false">
      <c r="C218" s="10" t="s">
        <v>161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25" t="n">
        <f aca="false">ROUNDUP(N214/8,0)*8</f>
        <v>440</v>
      </c>
    </row>
    <row r="219" customFormat="false" ht="15" hidden="false" customHeight="false" outlineLevel="0" collapsed="false">
      <c r="C219" s="10" t="s">
        <v>162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25" t="n">
        <f aca="false">N218+4</f>
        <v>444</v>
      </c>
    </row>
    <row r="220" customFormat="false" ht="15" hidden="false" customHeight="false" outlineLevel="0" collapsed="false">
      <c r="C220" s="10" t="s">
        <v>163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25" t="n">
        <f aca="false">INT((Assumptions!$B$16-Assumptions!$B$17)/N219)</f>
        <v>18</v>
      </c>
    </row>
    <row r="221" customFormat="false" ht="15" hidden="false" customHeight="false" outlineLevel="0" collapsed="false">
      <c r="C221" s="21" t="s">
        <v>164</v>
      </c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7" t="n">
        <f aca="false">Assumptions!$B$16/N220</f>
        <v>455.111111111111</v>
      </c>
    </row>
  </sheetData>
  <mergeCells count="78">
    <mergeCell ref="A2:N2"/>
    <mergeCell ref="C19:M19"/>
    <mergeCell ref="C20:M20"/>
    <mergeCell ref="C21:M21"/>
    <mergeCell ref="C22:M22"/>
    <mergeCell ref="C23:M23"/>
    <mergeCell ref="C24:M24"/>
    <mergeCell ref="C25:M25"/>
    <mergeCell ref="C37:M37"/>
    <mergeCell ref="C38:M38"/>
    <mergeCell ref="C39:M39"/>
    <mergeCell ref="C40:M40"/>
    <mergeCell ref="C41:M41"/>
    <mergeCell ref="C42:M42"/>
    <mergeCell ref="C43:M43"/>
    <mergeCell ref="C55:M55"/>
    <mergeCell ref="C56:M56"/>
    <mergeCell ref="C57:M57"/>
    <mergeCell ref="C58:M58"/>
    <mergeCell ref="C59:M59"/>
    <mergeCell ref="C60:M60"/>
    <mergeCell ref="C61:M61"/>
    <mergeCell ref="C79:M79"/>
    <mergeCell ref="C80:M80"/>
    <mergeCell ref="C81:M81"/>
    <mergeCell ref="C82:M82"/>
    <mergeCell ref="C83:M83"/>
    <mergeCell ref="C84:M84"/>
    <mergeCell ref="C85:M85"/>
    <mergeCell ref="C99:M99"/>
    <mergeCell ref="C100:M100"/>
    <mergeCell ref="C101:M101"/>
    <mergeCell ref="C102:M102"/>
    <mergeCell ref="C103:M103"/>
    <mergeCell ref="C104:M104"/>
    <mergeCell ref="C105:M105"/>
    <mergeCell ref="C115:M115"/>
    <mergeCell ref="C116:M116"/>
    <mergeCell ref="C117:M117"/>
    <mergeCell ref="C118:M118"/>
    <mergeCell ref="C119:M119"/>
    <mergeCell ref="C120:M120"/>
    <mergeCell ref="C121:M121"/>
    <mergeCell ref="C137:M137"/>
    <mergeCell ref="C138:M138"/>
    <mergeCell ref="C139:M139"/>
    <mergeCell ref="C140:M140"/>
    <mergeCell ref="C141:M141"/>
    <mergeCell ref="C142:M142"/>
    <mergeCell ref="C143:M143"/>
    <mergeCell ref="C154:M154"/>
    <mergeCell ref="C155:M155"/>
    <mergeCell ref="C156:M156"/>
    <mergeCell ref="C157:M157"/>
    <mergeCell ref="C158:M158"/>
    <mergeCell ref="C159:M159"/>
    <mergeCell ref="C160:M160"/>
    <mergeCell ref="C185:M185"/>
    <mergeCell ref="C186:M186"/>
    <mergeCell ref="C187:M187"/>
    <mergeCell ref="C188:M188"/>
    <mergeCell ref="C189:M189"/>
    <mergeCell ref="C190:M190"/>
    <mergeCell ref="C191:M191"/>
    <mergeCell ref="C200:M200"/>
    <mergeCell ref="C201:M201"/>
    <mergeCell ref="C202:M202"/>
    <mergeCell ref="C203:M203"/>
    <mergeCell ref="C204:M204"/>
    <mergeCell ref="C205:M205"/>
    <mergeCell ref="C206:M206"/>
    <mergeCell ref="C215:M215"/>
    <mergeCell ref="C216:M216"/>
    <mergeCell ref="C217:M217"/>
    <mergeCell ref="C218:M218"/>
    <mergeCell ref="C219:M219"/>
    <mergeCell ref="C220:M220"/>
    <mergeCell ref="C221:M2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10" min="8" style="0" width="14"/>
  </cols>
  <sheetData>
    <row r="1" customFormat="false" ht="17.35" hidden="false" customHeight="false" outlineLevel="0" collapsed="false">
      <c r="A1" s="1" t="s">
        <v>299</v>
      </c>
    </row>
    <row r="2" customFormat="false" ht="30" hidden="false" customHeight="true" outlineLevel="0" collapsed="false">
      <c r="A2" s="20" t="s">
        <v>300</v>
      </c>
      <c r="B2" s="20"/>
      <c r="C2" s="20"/>
      <c r="D2" s="20"/>
      <c r="E2" s="20"/>
      <c r="F2" s="20"/>
      <c r="G2" s="20"/>
      <c r="H2" s="20"/>
      <c r="I2" s="20"/>
      <c r="J2" s="20"/>
    </row>
    <row r="4" customFormat="false" ht="39.75" hidden="false" customHeight="true" outlineLevel="0" collapsed="false">
      <c r="A4" s="7" t="s">
        <v>106</v>
      </c>
      <c r="B4" s="7" t="s">
        <v>301</v>
      </c>
      <c r="C4" s="7" t="s">
        <v>302</v>
      </c>
      <c r="D4" s="7" t="s">
        <v>303</v>
      </c>
      <c r="E4" s="7" t="s">
        <v>304</v>
      </c>
      <c r="F4" s="7" t="s">
        <v>305</v>
      </c>
      <c r="G4" s="7" t="s">
        <v>306</v>
      </c>
      <c r="H4" s="7" t="s">
        <v>307</v>
      </c>
      <c r="I4" s="7" t="s">
        <v>308</v>
      </c>
      <c r="J4" s="7" t="s">
        <v>309</v>
      </c>
    </row>
    <row r="5" customFormat="false" ht="15" hidden="false" customHeight="false" outlineLevel="0" collapsed="false">
      <c r="A5" s="10" t="s">
        <v>120</v>
      </c>
      <c r="B5" s="10" t="s">
        <v>310</v>
      </c>
      <c r="C5" s="10" t="s">
        <v>124</v>
      </c>
      <c r="D5" s="12" t="s">
        <v>125</v>
      </c>
      <c r="E5" s="26" t="n">
        <v>8</v>
      </c>
      <c r="F5" s="24" t="s">
        <v>129</v>
      </c>
      <c r="G5" s="26" t="n">
        <v>1</v>
      </c>
      <c r="H5" s="28" t="n">
        <f aca="false">IF(F5="Y",(ROUNDUP((8+E5+6*G5)/8,0)*8+4)/G5,ROUNDUP((8+E5)/8,0)*8+4)</f>
        <v>20</v>
      </c>
      <c r="I5" s="29" t="n">
        <f aca="false">H5*Assumptions!$B$16/((Assumptions!$B$16-24-Assumptions!$B$18)*Assumptions!$B$19)</f>
        <v>22.3312615854323</v>
      </c>
      <c r="J5" s="30" t="s">
        <v>311</v>
      </c>
    </row>
    <row r="6" customFormat="false" ht="15" hidden="false" customHeight="false" outlineLevel="0" collapsed="false">
      <c r="A6" s="10" t="s">
        <v>120</v>
      </c>
      <c r="B6" s="10" t="s">
        <v>312</v>
      </c>
      <c r="C6" s="10" t="s">
        <v>130</v>
      </c>
      <c r="D6" s="12" t="s">
        <v>313</v>
      </c>
      <c r="E6" s="26" t="n">
        <v>37</v>
      </c>
      <c r="F6" s="24" t="s">
        <v>129</v>
      </c>
      <c r="G6" s="26" t="n">
        <v>1</v>
      </c>
      <c r="H6" s="28" t="n">
        <f aca="false">IF(F6="Y",(ROUNDUP((8+E6+6*G6)/8,0)*8+4)/G6,ROUNDUP((8+E6)/8,0)*8+4)</f>
        <v>52</v>
      </c>
      <c r="I6" s="29" t="n">
        <f aca="false">H6*Assumptions!$B$16/((Assumptions!$B$16-24-Assumptions!$B$18)*Assumptions!$B$19)</f>
        <v>58.0612801221241</v>
      </c>
      <c r="J6" s="30" t="s">
        <v>311</v>
      </c>
    </row>
    <row r="7" customFormat="false" ht="15" hidden="false" customHeight="false" outlineLevel="0" collapsed="false">
      <c r="A7" s="10" t="s">
        <v>120</v>
      </c>
      <c r="B7" s="10" t="s">
        <v>314</v>
      </c>
      <c r="C7" s="10" t="s">
        <v>143</v>
      </c>
      <c r="D7" s="12" t="s">
        <v>315</v>
      </c>
      <c r="E7" s="26" t="n">
        <v>4</v>
      </c>
      <c r="F7" s="24" t="s">
        <v>220</v>
      </c>
      <c r="G7" s="26" t="n">
        <v>100</v>
      </c>
      <c r="H7" s="28" t="n">
        <f aca="false">IF(F7="Y",(ROUNDUP((8+E7+6*G7)/8,0)*8+4)/G7,ROUNDUP((8+E7)/8,0)*8+4)</f>
        <v>6.2</v>
      </c>
      <c r="I7" s="29" t="n">
        <f aca="false">H7*Assumptions!$B$16/((Assumptions!$B$16-24-Assumptions!$B$18)*Assumptions!$B$19)</f>
        <v>6.92269109148403</v>
      </c>
      <c r="J7" s="30" t="s">
        <v>316</v>
      </c>
    </row>
    <row r="8" customFormat="false" ht="15" hidden="false" customHeight="false" outlineLevel="0" collapsed="false">
      <c r="A8" s="10" t="s">
        <v>120</v>
      </c>
      <c r="B8" s="10" t="s">
        <v>317</v>
      </c>
      <c r="C8" s="10" t="s">
        <v>318</v>
      </c>
      <c r="D8" s="12" t="s">
        <v>250</v>
      </c>
      <c r="E8" s="26" t="n">
        <v>8</v>
      </c>
      <c r="F8" s="24" t="s">
        <v>129</v>
      </c>
      <c r="G8" s="26" t="n">
        <v>1</v>
      </c>
      <c r="H8" s="28" t="n">
        <f aca="false">IF(F8="Y",(ROUNDUP((8+E8+6*G8)/8,0)*8+4)/G8,ROUNDUP((8+E8)/8,0)*8+4)</f>
        <v>20</v>
      </c>
      <c r="I8" s="29" t="n">
        <f aca="false">H8*Assumptions!$B$16/((Assumptions!$B$16-24-Assumptions!$B$18)*Assumptions!$B$19)</f>
        <v>22.3312615854323</v>
      </c>
      <c r="J8" s="30" t="s">
        <v>311</v>
      </c>
    </row>
    <row r="9" customFormat="false" ht="15" hidden="false" customHeight="false" outlineLevel="0" collapsed="false">
      <c r="A9" s="10" t="s">
        <v>120</v>
      </c>
      <c r="B9" s="10" t="s">
        <v>319</v>
      </c>
      <c r="C9" s="10" t="s">
        <v>137</v>
      </c>
      <c r="D9" s="12" t="s">
        <v>320</v>
      </c>
      <c r="E9" s="26" t="n">
        <v>4</v>
      </c>
      <c r="F9" s="24" t="s">
        <v>220</v>
      </c>
      <c r="G9" s="26" t="n">
        <v>100</v>
      </c>
      <c r="H9" s="28" t="n">
        <f aca="false">IF(F9="Y",(ROUNDUP((8+E9+6*G9)/8,0)*8+4)/G9,ROUNDUP((8+E9)/8,0)*8+4)</f>
        <v>6.2</v>
      </c>
      <c r="I9" s="29" t="n">
        <f aca="false">H9*Assumptions!$B$16/((Assumptions!$B$16-24-Assumptions!$B$18)*Assumptions!$B$19)</f>
        <v>6.92269109148403</v>
      </c>
      <c r="J9" s="30" t="s">
        <v>316</v>
      </c>
    </row>
    <row r="10" customFormat="false" ht="15" hidden="false" customHeight="false" outlineLevel="0" collapsed="false">
      <c r="A10" s="10" t="s">
        <v>120</v>
      </c>
      <c r="B10" s="10" t="s">
        <v>321</v>
      </c>
      <c r="C10" s="10" t="s">
        <v>156</v>
      </c>
      <c r="D10" s="12" t="s">
        <v>322</v>
      </c>
      <c r="E10" s="26" t="n">
        <v>9</v>
      </c>
      <c r="F10" s="24" t="s">
        <v>220</v>
      </c>
      <c r="G10" s="26" t="n">
        <v>100</v>
      </c>
      <c r="H10" s="28" t="n">
        <f aca="false">IF(F10="Y",(ROUNDUP((8+E10+6*G10)/8,0)*8+4)/G10,ROUNDUP((8+E10)/8,0)*8+4)</f>
        <v>6.28</v>
      </c>
      <c r="I10" s="29" t="n">
        <f aca="false">H10*Assumptions!$B$16/((Assumptions!$B$16-24-Assumptions!$B$18)*Assumptions!$B$19)</f>
        <v>7.01201613782576</v>
      </c>
      <c r="J10" s="30" t="s">
        <v>316</v>
      </c>
    </row>
    <row r="11" customFormat="false" ht="15" hidden="false" customHeight="false" outlineLevel="0" collapsed="false">
      <c r="A11" s="10" t="s">
        <v>166</v>
      </c>
      <c r="B11" s="10" t="s">
        <v>323</v>
      </c>
      <c r="C11" s="10" t="s">
        <v>124</v>
      </c>
      <c r="D11" s="12" t="s">
        <v>125</v>
      </c>
      <c r="E11" s="26" t="n">
        <v>8</v>
      </c>
      <c r="F11" s="24" t="s">
        <v>129</v>
      </c>
      <c r="G11" s="26" t="n">
        <v>1</v>
      </c>
      <c r="H11" s="28" t="n">
        <f aca="false">IF(F11="Y",(ROUNDUP((8+E11+6*G11)/8,0)*8+4)/G11,ROUNDUP((8+E11)/8,0)*8+4)</f>
        <v>20</v>
      </c>
      <c r="I11" s="29" t="n">
        <f aca="false">H11*Assumptions!$B$16/((Assumptions!$B$16-24-Assumptions!$B$18)*Assumptions!$B$19)</f>
        <v>22.3312615854323</v>
      </c>
      <c r="J11" s="30" t="s">
        <v>311</v>
      </c>
    </row>
    <row r="12" customFormat="false" ht="15" hidden="false" customHeight="false" outlineLevel="0" collapsed="false">
      <c r="A12" s="10" t="s">
        <v>166</v>
      </c>
      <c r="B12" s="10" t="s">
        <v>324</v>
      </c>
      <c r="C12" s="10" t="s">
        <v>325</v>
      </c>
      <c r="D12" s="12" t="s">
        <v>250</v>
      </c>
      <c r="E12" s="26" t="n">
        <v>8</v>
      </c>
      <c r="F12" s="24" t="s">
        <v>129</v>
      </c>
      <c r="G12" s="26" t="n">
        <v>1</v>
      </c>
      <c r="H12" s="28" t="n">
        <f aca="false">IF(F12="Y",(ROUNDUP((8+E12+6*G12)/8,0)*8+4)/G12,ROUNDUP((8+E12)/8,0)*8+4)</f>
        <v>20</v>
      </c>
      <c r="I12" s="29" t="n">
        <f aca="false">H12*Assumptions!$B$16/((Assumptions!$B$16-24-Assumptions!$B$18)*Assumptions!$B$19)</f>
        <v>22.3312615854323</v>
      </c>
      <c r="J12" s="30" t="s">
        <v>311</v>
      </c>
    </row>
    <row r="13" customFormat="false" ht="15" hidden="false" customHeight="false" outlineLevel="0" collapsed="false">
      <c r="A13" s="10" t="s">
        <v>166</v>
      </c>
      <c r="B13" s="10" t="s">
        <v>326</v>
      </c>
      <c r="C13" s="10" t="s">
        <v>174</v>
      </c>
      <c r="D13" s="12" t="s">
        <v>327</v>
      </c>
      <c r="E13" s="26" t="n">
        <v>18</v>
      </c>
      <c r="F13" s="24" t="s">
        <v>220</v>
      </c>
      <c r="G13" s="26" t="n">
        <v>100</v>
      </c>
      <c r="H13" s="28" t="n">
        <f aca="false">IF(F13="Y",(ROUNDUP((8+E13+6*G13)/8,0)*8+4)/G13,ROUNDUP((8+E13)/8,0)*8+4)</f>
        <v>6.36</v>
      </c>
      <c r="I13" s="29" t="n">
        <f aca="false">H13*Assumptions!$B$16/((Assumptions!$B$16-24-Assumptions!$B$18)*Assumptions!$B$19)</f>
        <v>7.10134118416748</v>
      </c>
      <c r="J13" s="30" t="s">
        <v>316</v>
      </c>
    </row>
    <row r="14" customFormat="false" ht="15" hidden="false" customHeight="false" outlineLevel="0" collapsed="false">
      <c r="A14" s="10" t="s">
        <v>166</v>
      </c>
      <c r="B14" s="10" t="s">
        <v>328</v>
      </c>
      <c r="C14" s="10" t="s">
        <v>169</v>
      </c>
      <c r="D14" s="12" t="s">
        <v>329</v>
      </c>
      <c r="E14" s="26" t="n">
        <v>8</v>
      </c>
      <c r="F14" s="24" t="s">
        <v>220</v>
      </c>
      <c r="G14" s="26" t="n">
        <v>8</v>
      </c>
      <c r="H14" s="28" t="n">
        <f aca="false">IF(F14="Y",(ROUNDUP((8+E14+6*G14)/8,0)*8+4)/G14,ROUNDUP((8+E14)/8,0)*8+4)</f>
        <v>8.5</v>
      </c>
      <c r="I14" s="29" t="n">
        <f aca="false">H14*Assumptions!$B$16/((Assumptions!$B$16-24-Assumptions!$B$18)*Assumptions!$B$19)</f>
        <v>9.49078617380875</v>
      </c>
      <c r="J14" s="30" t="s">
        <v>316</v>
      </c>
    </row>
    <row r="15" customFormat="false" ht="15" hidden="false" customHeight="false" outlineLevel="0" collapsed="false">
      <c r="A15" s="10" t="s">
        <v>179</v>
      </c>
      <c r="B15" s="10" t="s">
        <v>330</v>
      </c>
      <c r="C15" s="10" t="s">
        <v>124</v>
      </c>
      <c r="D15" s="12" t="s">
        <v>125</v>
      </c>
      <c r="E15" s="26" t="n">
        <v>8</v>
      </c>
      <c r="F15" s="24" t="s">
        <v>129</v>
      </c>
      <c r="G15" s="26" t="n">
        <v>1</v>
      </c>
      <c r="H15" s="28" t="n">
        <f aca="false">IF(F15="Y",(ROUNDUP((8+E15+6*G15)/8,0)*8+4)/G15,ROUNDUP((8+E15)/8,0)*8+4)</f>
        <v>20</v>
      </c>
      <c r="I15" s="29" t="n">
        <f aca="false">H15*Assumptions!$B$16/((Assumptions!$B$16-24-Assumptions!$B$18)*Assumptions!$B$19)</f>
        <v>22.3312615854323</v>
      </c>
      <c r="J15" s="30" t="s">
        <v>311</v>
      </c>
    </row>
    <row r="16" customFormat="false" ht="15" hidden="false" customHeight="false" outlineLevel="0" collapsed="false">
      <c r="A16" s="10" t="s">
        <v>179</v>
      </c>
      <c r="B16" s="10" t="s">
        <v>331</v>
      </c>
      <c r="C16" s="10" t="s">
        <v>186</v>
      </c>
      <c r="D16" s="12" t="s">
        <v>332</v>
      </c>
      <c r="E16" s="26" t="n">
        <v>4</v>
      </c>
      <c r="F16" s="24" t="s">
        <v>220</v>
      </c>
      <c r="G16" s="26" t="n">
        <v>100</v>
      </c>
      <c r="H16" s="28" t="n">
        <f aca="false">IF(F16="Y",(ROUNDUP((8+E16+6*G16)/8,0)*8+4)/G16,ROUNDUP((8+E16)/8,0)*8+4)</f>
        <v>6.2</v>
      </c>
      <c r="I16" s="29" t="n">
        <f aca="false">H16*Assumptions!$B$16/((Assumptions!$B$16-24-Assumptions!$B$18)*Assumptions!$B$19)</f>
        <v>6.92269109148403</v>
      </c>
      <c r="J16" s="30" t="s">
        <v>316</v>
      </c>
    </row>
    <row r="17" customFormat="false" ht="15" hidden="false" customHeight="false" outlineLevel="0" collapsed="false">
      <c r="A17" s="10" t="s">
        <v>179</v>
      </c>
      <c r="B17" s="10" t="s">
        <v>333</v>
      </c>
      <c r="C17" s="10" t="s">
        <v>334</v>
      </c>
      <c r="D17" s="12" t="s">
        <v>250</v>
      </c>
      <c r="E17" s="26" t="n">
        <v>8</v>
      </c>
      <c r="F17" s="24" t="s">
        <v>129</v>
      </c>
      <c r="G17" s="26" t="n">
        <v>1</v>
      </c>
      <c r="H17" s="28" t="n">
        <f aca="false">IF(F17="Y",(ROUNDUP((8+E17+6*G17)/8,0)*8+4)/G17,ROUNDUP((8+E17)/8,0)*8+4)</f>
        <v>20</v>
      </c>
      <c r="I17" s="29" t="n">
        <f aca="false">H17*Assumptions!$B$16/((Assumptions!$B$16-24-Assumptions!$B$18)*Assumptions!$B$19)</f>
        <v>22.3312615854323</v>
      </c>
      <c r="J17" s="30" t="s">
        <v>311</v>
      </c>
    </row>
    <row r="18" customFormat="false" ht="15" hidden="false" customHeight="false" outlineLevel="0" collapsed="false">
      <c r="A18" s="10" t="s">
        <v>179</v>
      </c>
      <c r="B18" s="10" t="s">
        <v>335</v>
      </c>
      <c r="C18" s="10" t="s">
        <v>180</v>
      </c>
      <c r="D18" s="12" t="s">
        <v>336</v>
      </c>
      <c r="E18" s="26" t="n">
        <v>13</v>
      </c>
      <c r="F18" s="24" t="s">
        <v>129</v>
      </c>
      <c r="G18" s="26" t="n">
        <v>1</v>
      </c>
      <c r="H18" s="28" t="n">
        <f aca="false">IF(F18="Y",(ROUNDUP((8+E18+6*G18)/8,0)*8+4)/G18,ROUNDUP((8+E18)/8,0)*8+4)</f>
        <v>28</v>
      </c>
      <c r="I18" s="29" t="n">
        <f aca="false">H18*Assumptions!$B$16/((Assumptions!$B$16-24-Assumptions!$B$18)*Assumptions!$B$19)</f>
        <v>31.2637662196053</v>
      </c>
      <c r="J18" s="30" t="s">
        <v>311</v>
      </c>
    </row>
    <row r="19" customFormat="false" ht="15" hidden="false" customHeight="false" outlineLevel="0" collapsed="false">
      <c r="A19" s="10" t="s">
        <v>195</v>
      </c>
      <c r="B19" s="10" t="s">
        <v>337</v>
      </c>
      <c r="C19" s="10" t="s">
        <v>124</v>
      </c>
      <c r="D19" s="12" t="s">
        <v>125</v>
      </c>
      <c r="E19" s="26" t="n">
        <v>8</v>
      </c>
      <c r="F19" s="24" t="s">
        <v>129</v>
      </c>
      <c r="G19" s="26" t="n">
        <v>1</v>
      </c>
      <c r="H19" s="28" t="n">
        <f aca="false">IF(F19="Y",(ROUNDUP((8+E19+6*G19)/8,0)*8+4)/G19,ROUNDUP((8+E19)/8,0)*8+4)</f>
        <v>20</v>
      </c>
      <c r="I19" s="29" t="n">
        <f aca="false">H19*Assumptions!$B$16/((Assumptions!$B$16-24-Assumptions!$B$18)*Assumptions!$B$19)</f>
        <v>22.3312615854323</v>
      </c>
      <c r="J19" s="30" t="s">
        <v>311</v>
      </c>
    </row>
    <row r="20" customFormat="false" ht="15" hidden="false" customHeight="false" outlineLevel="0" collapsed="false">
      <c r="A20" s="10" t="s">
        <v>224</v>
      </c>
      <c r="B20" s="10" t="s">
        <v>338</v>
      </c>
      <c r="C20" s="10" t="s">
        <v>124</v>
      </c>
      <c r="D20" s="12" t="s">
        <v>125</v>
      </c>
      <c r="E20" s="26" t="n">
        <v>8</v>
      </c>
      <c r="F20" s="24" t="s">
        <v>129</v>
      </c>
      <c r="G20" s="26" t="n">
        <v>1</v>
      </c>
      <c r="H20" s="28" t="n">
        <f aca="false">IF(F20="Y",(ROUNDUP((8+E20+6*G20)/8,0)*8+4)/G20,ROUNDUP((8+E20)/8,0)*8+4)</f>
        <v>20</v>
      </c>
      <c r="I20" s="29" t="n">
        <f aca="false">H20*Assumptions!$B$16/((Assumptions!$B$16-24-Assumptions!$B$18)*Assumptions!$B$19)</f>
        <v>22.3312615854323</v>
      </c>
      <c r="J20" s="30" t="s">
        <v>311</v>
      </c>
    </row>
    <row r="21" customFormat="false" ht="15" hidden="false" customHeight="false" outlineLevel="0" collapsed="false">
      <c r="A21" s="10" t="s">
        <v>224</v>
      </c>
      <c r="B21" s="10" t="s">
        <v>339</v>
      </c>
      <c r="C21" s="10" t="s">
        <v>228</v>
      </c>
      <c r="D21" s="12" t="s">
        <v>340</v>
      </c>
      <c r="E21" s="26" t="n">
        <v>21</v>
      </c>
      <c r="F21" s="24" t="s">
        <v>129</v>
      </c>
      <c r="G21" s="26" t="n">
        <v>1</v>
      </c>
      <c r="H21" s="28" t="n">
        <f aca="false">IF(F21="Y",(ROUNDUP((8+E21+6*G21)/8,0)*8+4)/G21,ROUNDUP((8+E21)/8,0)*8+4)</f>
        <v>36</v>
      </c>
      <c r="I21" s="29" t="n">
        <f aca="false">H21*Assumptions!$B$16/((Assumptions!$B$16-24-Assumptions!$B$18)*Assumptions!$B$19)</f>
        <v>40.1962708537782</v>
      </c>
      <c r="J21" s="30" t="s">
        <v>311</v>
      </c>
    </row>
    <row r="22" customFormat="false" ht="15" hidden="false" customHeight="false" outlineLevel="0" collapsed="false">
      <c r="A22" s="10" t="s">
        <v>232</v>
      </c>
      <c r="B22" s="10" t="s">
        <v>341</v>
      </c>
      <c r="C22" s="10" t="s">
        <v>234</v>
      </c>
      <c r="D22" s="12" t="s">
        <v>125</v>
      </c>
      <c r="E22" s="26" t="n">
        <v>8</v>
      </c>
      <c r="F22" s="24" t="s">
        <v>129</v>
      </c>
      <c r="G22" s="26" t="n">
        <v>1</v>
      </c>
      <c r="H22" s="28" t="n">
        <f aca="false">IF(F22="Y",(ROUNDUP((8+E22+6*G22)/8,0)*8+4)/G22,ROUNDUP((8+E22)/8,0)*8+4)</f>
        <v>20</v>
      </c>
      <c r="I22" s="29" t="n">
        <f aca="false">H22*Assumptions!$B$16/((Assumptions!$B$16-24-Assumptions!$B$18)*Assumptions!$B$19)</f>
        <v>22.3312615854323</v>
      </c>
      <c r="J22" s="30" t="s">
        <v>311</v>
      </c>
    </row>
    <row r="23" customFormat="false" ht="15" hidden="false" customHeight="false" outlineLevel="0" collapsed="false">
      <c r="A23" s="10" t="s">
        <v>232</v>
      </c>
      <c r="B23" s="10" t="s">
        <v>342</v>
      </c>
      <c r="C23" s="10" t="s">
        <v>343</v>
      </c>
      <c r="D23" s="12" t="s">
        <v>344</v>
      </c>
      <c r="E23" s="26" t="n">
        <v>54</v>
      </c>
      <c r="F23" s="24" t="s">
        <v>129</v>
      </c>
      <c r="G23" s="26" t="n">
        <v>1</v>
      </c>
      <c r="H23" s="28" t="n">
        <f aca="false">IF(F23="Y",(ROUNDUP((8+E23+6*G23)/8,0)*8+4)/G23,ROUNDUP((8+E23)/8,0)*8+4)</f>
        <v>68</v>
      </c>
      <c r="I23" s="29" t="n">
        <f aca="false">H23*Assumptions!$B$16/((Assumptions!$B$16-24-Assumptions!$B$18)*Assumptions!$B$19)</f>
        <v>75.92628939047</v>
      </c>
      <c r="J23" s="30" t="s">
        <v>311</v>
      </c>
    </row>
    <row r="24" customFormat="false" ht="15" hidden="false" customHeight="false" outlineLevel="0" collapsed="false">
      <c r="A24" s="10" t="s">
        <v>245</v>
      </c>
      <c r="B24" s="10" t="s">
        <v>345</v>
      </c>
      <c r="C24" s="10" t="s">
        <v>247</v>
      </c>
      <c r="D24" s="12" t="s">
        <v>125</v>
      </c>
      <c r="E24" s="26" t="n">
        <v>8</v>
      </c>
      <c r="F24" s="24" t="s">
        <v>129</v>
      </c>
      <c r="G24" s="26" t="n">
        <v>1</v>
      </c>
      <c r="H24" s="28" t="n">
        <f aca="false">IF(F24="Y",(ROUNDUP((8+E24+6*G24)/8,0)*8+4)/G24,ROUNDUP((8+E24)/8,0)*8+4)</f>
        <v>20</v>
      </c>
      <c r="I24" s="29" t="n">
        <f aca="false">H24*Assumptions!$B$16/((Assumptions!$B$16-24-Assumptions!$B$18)*Assumptions!$B$19)</f>
        <v>22.3312615854323</v>
      </c>
      <c r="J24" s="30" t="s">
        <v>311</v>
      </c>
    </row>
    <row r="25" customFormat="false" ht="15" hidden="false" customHeight="false" outlineLevel="0" collapsed="false">
      <c r="A25" s="10" t="s">
        <v>275</v>
      </c>
      <c r="B25" s="10" t="s">
        <v>346</v>
      </c>
      <c r="C25" s="10" t="s">
        <v>277</v>
      </c>
      <c r="D25" s="12" t="s">
        <v>125</v>
      </c>
      <c r="E25" s="26" t="n">
        <v>8</v>
      </c>
      <c r="F25" s="24" t="s">
        <v>129</v>
      </c>
      <c r="G25" s="26" t="n">
        <v>1</v>
      </c>
      <c r="H25" s="28" t="n">
        <f aca="false">IF(F25="Y",(ROUNDUP((8+E25+6*G25)/8,0)*8+4)/G25,ROUNDUP((8+E25)/8,0)*8+4)</f>
        <v>20</v>
      </c>
      <c r="I25" s="29" t="n">
        <f aca="false">H25*Assumptions!$B$16/((Assumptions!$B$16-24-Assumptions!$B$18)*Assumptions!$B$19)</f>
        <v>22.3312615854323</v>
      </c>
      <c r="J25" s="30" t="s">
        <v>311</v>
      </c>
    </row>
    <row r="26" customFormat="false" ht="15" hidden="false" customHeight="false" outlineLevel="0" collapsed="false">
      <c r="A26" s="10" t="s">
        <v>290</v>
      </c>
      <c r="B26" s="10" t="s">
        <v>347</v>
      </c>
      <c r="C26" s="10" t="s">
        <v>247</v>
      </c>
      <c r="D26" s="12" t="s">
        <v>125</v>
      </c>
      <c r="E26" s="26" t="n">
        <v>8</v>
      </c>
      <c r="F26" s="24" t="s">
        <v>129</v>
      </c>
      <c r="G26" s="26" t="n">
        <v>1</v>
      </c>
      <c r="H26" s="28" t="n">
        <f aca="false">IF(F26="Y",(ROUNDUP((8+E26+6*G26)/8,0)*8+4)/G26,ROUNDUP((8+E26)/8,0)*8+4)</f>
        <v>20</v>
      </c>
      <c r="I26" s="29" t="n">
        <f aca="false">H26*Assumptions!$B$16/((Assumptions!$B$16-24-Assumptions!$B$18)*Assumptions!$B$19)</f>
        <v>22.3312615854323</v>
      </c>
      <c r="J26" s="30" t="s">
        <v>311</v>
      </c>
    </row>
    <row r="27" customFormat="false" ht="15" hidden="false" customHeight="false" outlineLevel="0" collapsed="false">
      <c r="A27" s="10" t="s">
        <v>297</v>
      </c>
      <c r="B27" s="10" t="s">
        <v>348</v>
      </c>
      <c r="C27" s="10" t="s">
        <v>277</v>
      </c>
      <c r="D27" s="12" t="s">
        <v>125</v>
      </c>
      <c r="E27" s="26" t="n">
        <v>8</v>
      </c>
      <c r="F27" s="24" t="s">
        <v>129</v>
      </c>
      <c r="G27" s="26" t="n">
        <v>1</v>
      </c>
      <c r="H27" s="28" t="n">
        <f aca="false">IF(F27="Y",(ROUNDUP((8+E27+6*G27)/8,0)*8+4)/G27,ROUNDUP((8+E27)/8,0)*8+4)</f>
        <v>20</v>
      </c>
      <c r="I27" s="29" t="n">
        <f aca="false">H27*Assumptions!$B$16/((Assumptions!$B$16-24-Assumptions!$B$18)*Assumptions!$B$19)</f>
        <v>22.3312615854323</v>
      </c>
      <c r="J27" s="30" t="s">
        <v>311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6" min="4" style="0" width="13"/>
    <col collapsed="false" customWidth="true" hidden="false" outlineLevel="0" max="7" min="7" style="0" width="9"/>
    <col collapsed="false" customWidth="true" hidden="false" outlineLevel="0" max="10" min="8" style="0" width="13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5" min="15" style="0" width="11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55"/>
  </cols>
  <sheetData>
    <row r="1" customFormat="false" ht="17.3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45" hidden="false" customHeight="true" outlineLevel="0" collapsed="false">
      <c r="A4" s="7" t="s">
        <v>106</v>
      </c>
      <c r="B4" s="7" t="s">
        <v>20</v>
      </c>
      <c r="C4" s="7" t="s">
        <v>351</v>
      </c>
      <c r="D4" s="7" t="s">
        <v>352</v>
      </c>
      <c r="E4" s="7" t="s">
        <v>353</v>
      </c>
      <c r="F4" s="7" t="s">
        <v>354</v>
      </c>
      <c r="G4" s="7" t="s">
        <v>355</v>
      </c>
      <c r="H4" s="7" t="s">
        <v>356</v>
      </c>
      <c r="I4" s="7" t="s">
        <v>357</v>
      </c>
      <c r="J4" s="7" t="s">
        <v>358</v>
      </c>
      <c r="K4" s="7" t="s">
        <v>359</v>
      </c>
      <c r="L4" s="7" t="s">
        <v>360</v>
      </c>
      <c r="M4" s="7" t="s">
        <v>361</v>
      </c>
      <c r="N4" s="7" t="s">
        <v>362</v>
      </c>
      <c r="O4" s="7" t="s">
        <v>363</v>
      </c>
      <c r="P4" s="7" t="s">
        <v>364</v>
      </c>
      <c r="Q4" s="7" t="s">
        <v>365</v>
      </c>
      <c r="R4" s="7" t="s">
        <v>366</v>
      </c>
    </row>
    <row r="5" customFormat="false" ht="30" hidden="false" customHeight="true" outlineLevel="0" collapsed="false">
      <c r="A5" s="21" t="s">
        <v>120</v>
      </c>
      <c r="B5" s="10" t="s">
        <v>367</v>
      </c>
      <c r="C5" s="28" t="n">
        <v>1</v>
      </c>
      <c r="D5" s="31" t="n">
        <f aca="false">'Row size calc'!N25</f>
        <v>273.066666666667</v>
      </c>
      <c r="E5" s="31" t="n">
        <f aca="false">SUMIF('Index calc'!$A$5:$A$27,A5,'Index calc'!$I$5:$I$27)</f>
        <v>123.581201613783</v>
      </c>
      <c r="F5" s="32" t="n">
        <f aca="false">C5*(D5+E5)</f>
        <v>396.647868280449</v>
      </c>
      <c r="G5" s="25" t="n">
        <f aca="false">COUNTIF('Index calc'!$A$5:$A$27,A5)</f>
        <v>6</v>
      </c>
      <c r="H5" s="11"/>
      <c r="I5" s="33"/>
      <c r="J5" s="33"/>
      <c r="K5" s="34" t="str">
        <f aca="false">IF(AND(N(H5)&gt;0,N(I5)&gt;0),I5*1048576/H5,"")</f>
        <v/>
      </c>
      <c r="L5" s="34" t="n">
        <f aca="false">C5*'5-year projection'!$C$11</f>
        <v>1373647.5</v>
      </c>
      <c r="M5" s="32" t="n">
        <f aca="false">L5*(D5+E5)*Assumptions!$B$15/1048576</f>
        <v>623.536322758219</v>
      </c>
      <c r="N5" s="35" t="n">
        <f aca="false">M5/$M$17</f>
        <v>0.15262255533352</v>
      </c>
      <c r="O5" s="36" t="s">
        <v>368</v>
      </c>
      <c r="P5" s="12" t="s">
        <v>369</v>
      </c>
      <c r="Q5" s="12" t="s">
        <v>370</v>
      </c>
      <c r="R5" s="12" t="s">
        <v>371</v>
      </c>
    </row>
    <row r="6" customFormat="false" ht="30" hidden="false" customHeight="true" outlineLevel="0" collapsed="false">
      <c r="A6" s="21" t="s">
        <v>166</v>
      </c>
      <c r="B6" s="10" t="s">
        <v>367</v>
      </c>
      <c r="C6" s="37" t="n">
        <f aca="false">Assumptions!$B$14</f>
        <v>8</v>
      </c>
      <c r="D6" s="31" t="n">
        <f aca="false">'Row size calc'!N43</f>
        <v>84.4536082474227</v>
      </c>
      <c r="E6" s="31" t="n">
        <f aca="false">SUMIF('Index calc'!$A$5:$A$27,A6,'Index calc'!$I$5:$I$27)</f>
        <v>61.2546505288409</v>
      </c>
      <c r="F6" s="32" t="n">
        <f aca="false">C6*(D6+E6)</f>
        <v>1165.66607021011</v>
      </c>
      <c r="G6" s="25" t="n">
        <f aca="false">COUNTIF('Index calc'!$A$5:$A$27,A6)</f>
        <v>4</v>
      </c>
      <c r="H6" s="11"/>
      <c r="I6" s="33"/>
      <c r="J6" s="33"/>
      <c r="K6" s="34" t="str">
        <f aca="false">IF(AND(N(H6)&gt;0,N(I6)&gt;0),I6*1048576/H6,"")</f>
        <v/>
      </c>
      <c r="L6" s="34" t="n">
        <f aca="false">C6*'5-year projection'!$C$11</f>
        <v>10989180</v>
      </c>
      <c r="M6" s="32" t="n">
        <f aca="false">L6*(D6+E6)*Assumptions!$B$15/1048576</f>
        <v>1832.44432431672</v>
      </c>
      <c r="N6" s="35" t="n">
        <f aca="false">M6/$M$17</f>
        <v>0.448526132441636</v>
      </c>
      <c r="O6" s="36" t="s">
        <v>368</v>
      </c>
      <c r="P6" s="12" t="s">
        <v>369</v>
      </c>
      <c r="Q6" s="12" t="s">
        <v>372</v>
      </c>
      <c r="R6" s="12" t="s">
        <v>373</v>
      </c>
    </row>
    <row r="7" customFormat="false" ht="30" hidden="false" customHeight="true" outlineLevel="0" collapsed="false">
      <c r="A7" s="21" t="s">
        <v>179</v>
      </c>
      <c r="B7" s="10" t="s">
        <v>367</v>
      </c>
      <c r="C7" s="28" t="n">
        <v>1</v>
      </c>
      <c r="D7" s="31" t="n">
        <f aca="false">'Row size calc'!N61</f>
        <v>84.4536082474227</v>
      </c>
      <c r="E7" s="31" t="n">
        <f aca="false">SUMIF('Index calc'!$A$5:$A$27,A7,'Index calc'!$I$5:$I$27)</f>
        <v>82.848980481954</v>
      </c>
      <c r="F7" s="32" t="n">
        <f aca="false">C7*(D7+E7)</f>
        <v>167.302588729377</v>
      </c>
      <c r="G7" s="25" t="n">
        <f aca="false">COUNTIF('Index calc'!$A$5:$A$27,A7)</f>
        <v>4</v>
      </c>
      <c r="H7" s="11"/>
      <c r="I7" s="33"/>
      <c r="J7" s="33"/>
      <c r="K7" s="34" t="str">
        <f aca="false">IF(AND(N(H7)&gt;0,N(I7)&gt;0),I7*1048576/H7,"")</f>
        <v/>
      </c>
      <c r="L7" s="34" t="n">
        <f aca="false">C7*'5-year projection'!$C$11</f>
        <v>1373647.5</v>
      </c>
      <c r="M7" s="32" t="n">
        <f aca="false">L7*(D7+E7)*Assumptions!$B$15/1048576</f>
        <v>263.002147008861</v>
      </c>
      <c r="N7" s="35" t="n">
        <f aca="false">M7/$M$17</f>
        <v>0.064374853989475</v>
      </c>
      <c r="O7" s="38" t="s">
        <v>374</v>
      </c>
      <c r="P7" s="12" t="s">
        <v>375</v>
      </c>
      <c r="Q7" s="12" t="s">
        <v>370</v>
      </c>
      <c r="R7" s="12" t="s">
        <v>376</v>
      </c>
    </row>
    <row r="8" customFormat="false" ht="30" hidden="false" customHeight="true" outlineLevel="0" collapsed="false">
      <c r="A8" s="21" t="s">
        <v>195</v>
      </c>
      <c r="B8" s="10" t="s">
        <v>367</v>
      </c>
      <c r="C8" s="28" t="n">
        <v>1</v>
      </c>
      <c r="D8" s="31" t="n">
        <f aca="false">'Row size calc'!N85</f>
        <v>240.941176470588</v>
      </c>
      <c r="E8" s="31" t="n">
        <f aca="false">SUMIF('Index calc'!$A$5:$A$27,A8,'Index calc'!$I$5:$I$27)</f>
        <v>22.3312615854323</v>
      </c>
      <c r="F8" s="32" t="n">
        <f aca="false">C8*(D8+E8)</f>
        <v>263.272438056021</v>
      </c>
      <c r="G8" s="25" t="n">
        <f aca="false">COUNTIF('Index calc'!$A$5:$A$27,A8)</f>
        <v>1</v>
      </c>
      <c r="H8" s="11"/>
      <c r="I8" s="33"/>
      <c r="J8" s="33"/>
      <c r="K8" s="34" t="str">
        <f aca="false">IF(AND(N(H8)&gt;0,N(I8)&gt;0),I8*1048576/H8,"")</f>
        <v/>
      </c>
      <c r="L8" s="34" t="n">
        <f aca="false">C8*'5-year projection'!$C$11</f>
        <v>1373647.5</v>
      </c>
      <c r="M8" s="32" t="n">
        <f aca="false">L8*(D8+E8)*Assumptions!$B$15/1048576</f>
        <v>413.868171334714</v>
      </c>
      <c r="N8" s="35" t="n">
        <f aca="false">M8/$M$17</f>
        <v>0.101302226630361</v>
      </c>
      <c r="O8" s="38" t="s">
        <v>374</v>
      </c>
      <c r="P8" s="12" t="s">
        <v>375</v>
      </c>
      <c r="Q8" s="12" t="s">
        <v>370</v>
      </c>
      <c r="R8" s="12" t="s">
        <v>377</v>
      </c>
    </row>
    <row r="9" customFormat="false" ht="30" hidden="false" customHeight="true" outlineLevel="0" collapsed="false">
      <c r="A9" s="21" t="s">
        <v>224</v>
      </c>
      <c r="B9" s="10" t="s">
        <v>367</v>
      </c>
      <c r="C9" s="28" t="n">
        <v>1</v>
      </c>
      <c r="D9" s="31" t="n">
        <f aca="false">'Row size calc'!N105</f>
        <v>199.804878048781</v>
      </c>
      <c r="E9" s="31" t="n">
        <f aca="false">SUMIF('Index calc'!$A$5:$A$27,A9,'Index calc'!$I$5:$I$27)</f>
        <v>62.5275324392106</v>
      </c>
      <c r="F9" s="32" t="n">
        <f aca="false">C9*(D9+E9)</f>
        <v>262.332410487991</v>
      </c>
      <c r="G9" s="25" t="n">
        <f aca="false">COUNTIF('Index calc'!$A$5:$A$27,A9)</f>
        <v>2</v>
      </c>
      <c r="H9" s="11"/>
      <c r="I9" s="33"/>
      <c r="J9" s="33"/>
      <c r="K9" s="34" t="str">
        <f aca="false">IF(AND(N(H9)&gt;0,N(I9)&gt;0),I9*1048576/H9,"")</f>
        <v/>
      </c>
      <c r="L9" s="34" t="n">
        <f aca="false">C9*'5-year projection'!$C$11</f>
        <v>1373647.5</v>
      </c>
      <c r="M9" s="32" t="n">
        <f aca="false">L9*(D9+E9)*Assumptions!$B$15/1048576</f>
        <v>412.390434077228</v>
      </c>
      <c r="N9" s="35" t="n">
        <f aca="false">M9/$M$17</f>
        <v>0.100940521901836</v>
      </c>
      <c r="O9" s="38" t="s">
        <v>374</v>
      </c>
      <c r="P9" s="12" t="s">
        <v>375</v>
      </c>
      <c r="Q9" s="12" t="s">
        <v>370</v>
      </c>
      <c r="R9" s="12" t="s">
        <v>378</v>
      </c>
    </row>
    <row r="10" customFormat="false" ht="15" hidden="false" customHeight="false" outlineLevel="0" collapsed="false">
      <c r="A10" s="8" t="s">
        <v>379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30" hidden="false" customHeight="true" outlineLevel="0" collapsed="false">
      <c r="A11" s="21" t="s">
        <v>232</v>
      </c>
      <c r="B11" s="10" t="s">
        <v>380</v>
      </c>
      <c r="C11" s="28" t="n">
        <v>1</v>
      </c>
      <c r="D11" s="31" t="n">
        <f aca="false">'Row size calc'!N121</f>
        <v>101.135802469136</v>
      </c>
      <c r="E11" s="31" t="n">
        <f aca="false">SUMIF('Index calc'!$A$5:$A$27,A11,'Index calc'!$I$5:$I$27)</f>
        <v>98.2575509759023</v>
      </c>
      <c r="F11" s="32" t="n">
        <f aca="false">C11*(D11+E11)</f>
        <v>199.393353445038</v>
      </c>
      <c r="G11" s="25" t="n">
        <f aca="false">COUNTIF('Index calc'!$A$5:$A$27,A11)</f>
        <v>2</v>
      </c>
      <c r="H11" s="11"/>
      <c r="I11" s="33"/>
      <c r="J11" s="33"/>
      <c r="K11" s="34" t="str">
        <f aca="false">IF(AND(N(H11)&gt;0,N(I11)&gt;0),I11*1048576/H11,"")</f>
        <v/>
      </c>
      <c r="L11" s="34" t="n">
        <f aca="false">C11*Assumptions!$B$21*365*Assumptions!$B$7</f>
        <v>350400</v>
      </c>
      <c r="M11" s="32" t="n">
        <f aca="false">L11*(D11+E11)*Assumptions!$B$15/1048576</f>
        <v>79.956929451532</v>
      </c>
      <c r="N11" s="35" t="n">
        <f aca="false">M11/$M$17</f>
        <v>0.0195710024325988</v>
      </c>
      <c r="O11" s="38" t="s">
        <v>374</v>
      </c>
      <c r="P11" s="12" t="s">
        <v>381</v>
      </c>
      <c r="Q11" s="12" t="s">
        <v>370</v>
      </c>
      <c r="R11" s="12" t="s">
        <v>382</v>
      </c>
    </row>
    <row r="12" customFormat="false" ht="30" hidden="false" customHeight="true" outlineLevel="0" collapsed="false">
      <c r="A12" s="21" t="s">
        <v>245</v>
      </c>
      <c r="B12" s="10" t="s">
        <v>380</v>
      </c>
      <c r="C12" s="28" t="n">
        <v>1</v>
      </c>
      <c r="D12" s="31" t="n">
        <f aca="false">'Row size calc'!N143</f>
        <v>109.226666666667</v>
      </c>
      <c r="E12" s="31" t="n">
        <f aca="false">SUMIF('Index calc'!$A$5:$A$27,A12,'Index calc'!$I$5:$I$27)</f>
        <v>22.3312615854323</v>
      </c>
      <c r="F12" s="32" t="n">
        <f aca="false">C12*(D12+E12)</f>
        <v>131.557928252099</v>
      </c>
      <c r="G12" s="25" t="n">
        <f aca="false">COUNTIF('Index calc'!$A$5:$A$27,A12)</f>
        <v>1</v>
      </c>
      <c r="H12" s="11"/>
      <c r="I12" s="33"/>
      <c r="J12" s="33"/>
      <c r="K12" s="34" t="str">
        <f aca="false">IF(AND(N(H12)&gt;0,N(I12)&gt;0),I12*1048576/H12,"")</f>
        <v/>
      </c>
      <c r="L12" s="34" t="n">
        <f aca="false">C12*Assumptions!$B$21*365*Assumptions!$B$7</f>
        <v>350400</v>
      </c>
      <c r="M12" s="32" t="n">
        <f aca="false">L12*(D12+E12)*Assumptions!$B$15/1048576</f>
        <v>52.754857703631</v>
      </c>
      <c r="N12" s="35" t="n">
        <f aca="false">M12/$M$17</f>
        <v>0.0129127701067488</v>
      </c>
      <c r="O12" s="38" t="s">
        <v>374</v>
      </c>
      <c r="P12" s="12" t="s">
        <v>381</v>
      </c>
      <c r="Q12" s="12" t="s">
        <v>370</v>
      </c>
      <c r="R12" s="12" t="s">
        <v>383</v>
      </c>
    </row>
    <row r="13" customFormat="false" ht="30" hidden="false" customHeight="true" outlineLevel="0" collapsed="false">
      <c r="A13" s="21" t="s">
        <v>262</v>
      </c>
      <c r="B13" s="10" t="s">
        <v>380</v>
      </c>
      <c r="C13" s="37" t="n">
        <f aca="false">Assumptions!$B$22</f>
        <v>2</v>
      </c>
      <c r="D13" s="31" t="n">
        <f aca="false">'Row size calc'!N160</f>
        <v>76.5607476635514</v>
      </c>
      <c r="E13" s="31" t="n">
        <f aca="false">SUMIF('Index calc'!$A$5:$A$27,A13,'Index calc'!$I$5:$I$27)</f>
        <v>0</v>
      </c>
      <c r="F13" s="32" t="n">
        <f aca="false">C13*(D13+E13)</f>
        <v>153.121495327103</v>
      </c>
      <c r="G13" s="25" t="n">
        <f aca="false">COUNTIF('Index calc'!$A$5:$A$27,A13)</f>
        <v>0</v>
      </c>
      <c r="H13" s="11"/>
      <c r="I13" s="33"/>
      <c r="J13" s="33"/>
      <c r="K13" s="34" t="str">
        <f aca="false">IF(AND(N(H13)&gt;0,N(I13)&gt;0),I13*1048576/H13,"")</f>
        <v/>
      </c>
      <c r="L13" s="34" t="n">
        <f aca="false">C13*Assumptions!$B$21*365*Assumptions!$B$7</f>
        <v>700800</v>
      </c>
      <c r="M13" s="32" t="n">
        <f aca="false">L13*(D13+E13)*Assumptions!$B$15/1048576</f>
        <v>61.4018691588785</v>
      </c>
      <c r="N13" s="35" t="n">
        <f aca="false">M13/$M$17</f>
        <v>0.0150292931321602</v>
      </c>
      <c r="O13" s="38" t="s">
        <v>374</v>
      </c>
      <c r="P13" s="12" t="s">
        <v>381</v>
      </c>
      <c r="Q13" s="12" t="s">
        <v>370</v>
      </c>
      <c r="R13" s="12" t="s">
        <v>384</v>
      </c>
    </row>
    <row r="14" customFormat="false" ht="30" hidden="false" customHeight="true" outlineLevel="0" collapsed="false">
      <c r="A14" s="21" t="s">
        <v>275</v>
      </c>
      <c r="B14" s="10" t="s">
        <v>380</v>
      </c>
      <c r="C14" s="37" t="n">
        <f aca="false">Assumptions!$B$23</f>
        <v>1</v>
      </c>
      <c r="D14" s="31" t="n">
        <f aca="false">'Row size calc'!N191</f>
        <v>199.804878048781</v>
      </c>
      <c r="E14" s="31" t="n">
        <f aca="false">SUMIF('Index calc'!$A$5:$A$27,A14,'Index calc'!$I$5:$I$27)</f>
        <v>22.3312615854323</v>
      </c>
      <c r="F14" s="32" t="n">
        <f aca="false">C14*(D14+E14)</f>
        <v>222.136139634213</v>
      </c>
      <c r="G14" s="25" t="n">
        <f aca="false">COUNTIF('Index calc'!$A$5:$A$27,A14)</f>
        <v>1</v>
      </c>
      <c r="H14" s="11"/>
      <c r="I14" s="33"/>
      <c r="J14" s="33"/>
      <c r="K14" s="34" t="str">
        <f aca="false">IF(AND(N(H14)&gt;0,N(I14)&gt;0),I14*1048576/H14,"")</f>
        <v/>
      </c>
      <c r="L14" s="34" t="n">
        <f aca="false">C14*Assumptions!$B$21*365*Assumptions!$B$7</f>
        <v>350400</v>
      </c>
      <c r="M14" s="32" t="n">
        <f aca="false">L14*(D14+E14)*Assumptions!$B$15/1048576</f>
        <v>89.0768089231432</v>
      </c>
      <c r="N14" s="35" t="n">
        <f aca="false">M14/$M$17</f>
        <v>0.0218032690359844</v>
      </c>
      <c r="O14" s="38" t="s">
        <v>374</v>
      </c>
      <c r="P14" s="12" t="s">
        <v>381</v>
      </c>
      <c r="Q14" s="12" t="s">
        <v>370</v>
      </c>
      <c r="R14" s="12" t="s">
        <v>385</v>
      </c>
    </row>
    <row r="15" customFormat="false" ht="30" hidden="false" customHeight="true" outlineLevel="0" collapsed="false">
      <c r="A15" s="21" t="s">
        <v>290</v>
      </c>
      <c r="B15" s="10" t="s">
        <v>380</v>
      </c>
      <c r="C15" s="28" t="n">
        <v>1</v>
      </c>
      <c r="D15" s="31" t="n">
        <f aca="false">'Row size calc'!N206</f>
        <v>141.241379310345</v>
      </c>
      <c r="E15" s="31" t="n">
        <f aca="false">SUMIF('Index calc'!$A$5:$A$27,A15,'Index calc'!$I$5:$I$27)</f>
        <v>22.3312615854323</v>
      </c>
      <c r="F15" s="32" t="n">
        <f aca="false">C15*(D15+E15)</f>
        <v>163.572640895777</v>
      </c>
      <c r="G15" s="25" t="n">
        <f aca="false">COUNTIF('Index calc'!$A$5:$A$27,A15)</f>
        <v>1</v>
      </c>
      <c r="H15" s="11"/>
      <c r="I15" s="33"/>
      <c r="J15" s="33"/>
      <c r="K15" s="34" t="str">
        <f aca="false">IF(AND(N(H15)&gt;0,N(I15)&gt;0),I15*1048576/H15,"")</f>
        <v/>
      </c>
      <c r="L15" s="34" t="n">
        <f aca="false">C15*Assumptions!$B$21*365*Assumptions!$B$7</f>
        <v>350400</v>
      </c>
      <c r="M15" s="32" t="n">
        <f aca="false">L15*(D15+E15)*Assumptions!$B$15/1048576</f>
        <v>65.5927887381138</v>
      </c>
      <c r="N15" s="35" t="n">
        <f aca="false">M15/$M$17</f>
        <v>0.0160551016248407</v>
      </c>
      <c r="O15" s="39" t="s">
        <v>386</v>
      </c>
      <c r="P15" s="12" t="s">
        <v>381</v>
      </c>
      <c r="Q15" s="12" t="s">
        <v>370</v>
      </c>
      <c r="R15" s="12" t="s">
        <v>387</v>
      </c>
    </row>
    <row r="16" customFormat="false" ht="30" hidden="false" customHeight="true" outlineLevel="0" collapsed="false">
      <c r="A16" s="21" t="s">
        <v>297</v>
      </c>
      <c r="B16" s="10" t="s">
        <v>380</v>
      </c>
      <c r="C16" s="37" t="n">
        <f aca="false">Assumptions!$B$23</f>
        <v>1</v>
      </c>
      <c r="D16" s="31" t="n">
        <f aca="false">'Row size calc'!N221</f>
        <v>455.111111111111</v>
      </c>
      <c r="E16" s="31" t="n">
        <f aca="false">SUMIF('Index calc'!$A$5:$A$27,A16,'Index calc'!$I$5:$I$27)</f>
        <v>22.3312615854323</v>
      </c>
      <c r="F16" s="32" t="n">
        <f aca="false">C16*(D16+E16)</f>
        <v>477.442372696543</v>
      </c>
      <c r="G16" s="25" t="n">
        <f aca="false">COUNTIF('Index calc'!$A$5:$A$27,A16)</f>
        <v>1</v>
      </c>
      <c r="H16" s="11"/>
      <c r="I16" s="33"/>
      <c r="J16" s="33"/>
      <c r="K16" s="34" t="str">
        <f aca="false">IF(AND(N(H16)&gt;0,N(I16)&gt;0),I16*1048576/H16,"")</f>
        <v/>
      </c>
      <c r="L16" s="34" t="n">
        <f aca="false">C16*Assumptions!$B$21*365*Assumptions!$B$7</f>
        <v>350400</v>
      </c>
      <c r="M16" s="32" t="n">
        <f aca="false">L16*(D16+E16)*Assumptions!$B$15/1048576</f>
        <v>191.454857703631</v>
      </c>
      <c r="N16" s="35" t="n">
        <f aca="false">M16/$M$17</f>
        <v>0.0468622733708395</v>
      </c>
      <c r="O16" s="39" t="s">
        <v>386</v>
      </c>
      <c r="P16" s="12" t="s">
        <v>381</v>
      </c>
      <c r="Q16" s="12" t="s">
        <v>370</v>
      </c>
      <c r="R16" s="12" t="s">
        <v>388</v>
      </c>
    </row>
    <row r="17" customFormat="false" ht="15" hidden="false" customHeight="false" outlineLevel="0" collapsed="false">
      <c r="A17" s="40" t="s">
        <v>389</v>
      </c>
      <c r="L17" s="41" t="n">
        <f aca="false">SUM(L5:L16)</f>
        <v>18936570</v>
      </c>
      <c r="M17" s="42" t="n">
        <f aca="false">SUM(M5:M16)</f>
        <v>4085.47951117467</v>
      </c>
    </row>
    <row r="19" customFormat="false" ht="15" hidden="false" customHeight="false" outlineLevel="0" collapsed="false">
      <c r="A19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10" min="8" style="0" width="14"/>
    <col collapsed="false" customWidth="true" hidden="false" outlineLevel="0" max="12" min="11" style="0" width="15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391</v>
      </c>
    </row>
    <row r="3" customFormat="false" ht="15" hidden="false" customHeight="false" outlineLevel="0" collapsed="false">
      <c r="A3" s="43" t="s">
        <v>392</v>
      </c>
      <c r="D3" s="19" t="n">
        <f aca="false">Assumptions!$B$5</f>
        <v>225000</v>
      </c>
    </row>
    <row r="4" customFormat="false" ht="15" hidden="false" customHeight="false" outlineLevel="0" collapsed="false">
      <c r="A4" s="43" t="s">
        <v>393</v>
      </c>
      <c r="D4" s="44" t="n">
        <f aca="false">Assumptions!$B$6</f>
        <v>0.1</v>
      </c>
    </row>
    <row r="6" customFormat="false" ht="45" hidden="false" customHeight="true" outlineLevel="0" collapsed="false">
      <c r="A6" s="7" t="s">
        <v>394</v>
      </c>
      <c r="B6" s="7" t="s">
        <v>395</v>
      </c>
      <c r="C6" s="7" t="s">
        <v>396</v>
      </c>
      <c r="D6" s="7" t="s">
        <v>397</v>
      </c>
      <c r="E6" s="7" t="s">
        <v>398</v>
      </c>
      <c r="F6" s="7" t="s">
        <v>399</v>
      </c>
      <c r="G6" s="7" t="s">
        <v>400</v>
      </c>
      <c r="H6" s="7" t="s">
        <v>401</v>
      </c>
      <c r="I6" s="7" t="s">
        <v>402</v>
      </c>
      <c r="J6" s="7" t="s">
        <v>403</v>
      </c>
      <c r="K6" s="7" t="s">
        <v>404</v>
      </c>
      <c r="L6" s="7" t="s">
        <v>405</v>
      </c>
      <c r="M6" s="7" t="s">
        <v>406</v>
      </c>
      <c r="N6" s="7" t="s">
        <v>407</v>
      </c>
      <c r="O6" s="7" t="s">
        <v>408</v>
      </c>
    </row>
    <row r="7" customFormat="false" ht="15" hidden="false" customHeight="false" outlineLevel="0" collapsed="false">
      <c r="A7" s="10" t="str">
        <f aca="false">""&amp;(Assumptions!$B$8+1)</f>
        <v>2027</v>
      </c>
      <c r="B7" s="34" t="n">
        <f aca="false">$D$3</f>
        <v>225000</v>
      </c>
      <c r="C7" s="34" t="n">
        <f aca="false">B7</f>
        <v>225000</v>
      </c>
      <c r="D7" s="45" t="n">
        <f aca="false">Assumptions!$B$9</f>
        <v>2</v>
      </c>
      <c r="E7" s="32" t="n">
        <f aca="false">B7*D7/1024</f>
        <v>439.453125</v>
      </c>
      <c r="F7" s="32" t="n">
        <f aca="false">C7*D7/1024</f>
        <v>439.453125</v>
      </c>
      <c r="G7" s="23" t="s">
        <v>409</v>
      </c>
      <c r="H7" s="34" t="n">
        <f aca="false">Assumptions!$B$12*(1-Assumptions!$B$13)+C7*Assumptions!$B$41*Assumptions!$B$15/1048576</f>
        <v>412.016318093745</v>
      </c>
      <c r="I7" s="34" t="n">
        <f aca="false">Assumptions!$B$12*Assumptions!$B$13+C7*Assumptions!$B$42*Assumptions!$B$15/1048576</f>
        <v>218.685291952895</v>
      </c>
      <c r="J7" s="34" t="n">
        <f aca="false">1*Assumptions!$B$21*365*Assumptions!$B$43*Assumptions!$B$15/1048576</f>
        <v>108.047622335786</v>
      </c>
      <c r="K7" s="46" t="n">
        <f aca="false">H7+I7+J7</f>
        <v>738.749232382426</v>
      </c>
      <c r="L7" s="34" t="n">
        <f aca="false">K7*Assumptions!$B$26</f>
        <v>221.624769714728</v>
      </c>
      <c r="M7" s="32" t="n">
        <f aca="false">(L7*Assumptions!$B$27+K7*Assumptions!$B$28*Assumptions!$B$26*Assumptions!$B$29)/1024</f>
        <v>3.18152745586572</v>
      </c>
      <c r="N7" s="32" t="n">
        <f aca="false">C7*Assumptions!$B$10/1048576</f>
        <v>6.43730163574219</v>
      </c>
      <c r="O7" s="47" t="n">
        <f aca="false">F7+N7</f>
        <v>445.890426635742</v>
      </c>
    </row>
    <row r="8" customFormat="false" ht="15" hidden="false" customHeight="false" outlineLevel="0" collapsed="false">
      <c r="A8" s="10" t="str">
        <f aca="false">""&amp;(Assumptions!$B$8+2)</f>
        <v>2028</v>
      </c>
      <c r="B8" s="34" t="n">
        <f aca="false">B7*(1+$D$4)</f>
        <v>247500</v>
      </c>
      <c r="C8" s="34" t="n">
        <f aca="false">C7+B8</f>
        <v>472500</v>
      </c>
      <c r="D8" s="45" t="n">
        <f aca="false">Assumptions!$B$9</f>
        <v>2</v>
      </c>
      <c r="E8" s="32" t="n">
        <f aca="false">B8*D8/1024</f>
        <v>483.3984375</v>
      </c>
      <c r="F8" s="32" t="n">
        <f aca="false">C8*D8/1024</f>
        <v>922.8515625</v>
      </c>
      <c r="G8" s="35" t="n">
        <f aca="false">B8/B7-1</f>
        <v>0.1</v>
      </c>
      <c r="H8" s="34" t="n">
        <f aca="false">Assumptions!$B$12*(1-Assumptions!$B$13)+C8*Assumptions!$B$41*Assumptions!$B$15/1048576</f>
        <v>829.484267996864</v>
      </c>
      <c r="I8" s="34" t="n">
        <f aca="false">Assumptions!$B$12*Assumptions!$B$13+C8*Assumptions!$B$42*Assumptions!$B$15/1048576</f>
        <v>439.989113101079</v>
      </c>
      <c r="J8" s="34" t="n">
        <f aca="false">2*Assumptions!$B$21*365*Assumptions!$B$43*Assumptions!$B$15/1048576</f>
        <v>216.095244671572</v>
      </c>
      <c r="K8" s="46" t="n">
        <f aca="false">H8+I8+J8</f>
        <v>1485.56862576952</v>
      </c>
      <c r="L8" s="34" t="n">
        <f aca="false">K8*Assumptions!$B$26</f>
        <v>445.670587730855</v>
      </c>
      <c r="M8" s="32" t="n">
        <f aca="false">(L8*Assumptions!$B$27+K8*Assumptions!$B$28*Assumptions!$B$26*Assumptions!$B$29)/1024</f>
        <v>6.39781019496442</v>
      </c>
      <c r="N8" s="32" t="n">
        <f aca="false">C8*Assumptions!$B$10/1048576</f>
        <v>13.5183334350586</v>
      </c>
      <c r="O8" s="47" t="n">
        <f aca="false">F8+N8</f>
        <v>936.369895935059</v>
      </c>
    </row>
    <row r="9" customFormat="false" ht="15" hidden="false" customHeight="false" outlineLevel="0" collapsed="false">
      <c r="A9" s="10" t="str">
        <f aca="false">""&amp;(Assumptions!$B$8+3)</f>
        <v>2029</v>
      </c>
      <c r="B9" s="34" t="n">
        <f aca="false">B8*(1+$D$4)</f>
        <v>272250</v>
      </c>
      <c r="C9" s="34" t="n">
        <f aca="false">C8+B9</f>
        <v>744750</v>
      </c>
      <c r="D9" s="45" t="n">
        <f aca="false">Assumptions!$B$9</f>
        <v>2</v>
      </c>
      <c r="E9" s="32" t="n">
        <f aca="false">B9*D9/1024</f>
        <v>531.73828125</v>
      </c>
      <c r="F9" s="32" t="n">
        <f aca="false">C9*D9/1024</f>
        <v>1454.58984375</v>
      </c>
      <c r="G9" s="35" t="n">
        <f aca="false">B9/B8-1</f>
        <v>0.1</v>
      </c>
      <c r="H9" s="34" t="n">
        <f aca="false">Assumptions!$B$12*(1-Assumptions!$B$13)+C9*Assumptions!$B$41*Assumptions!$B$15/1048576</f>
        <v>1288.6990128903</v>
      </c>
      <c r="I9" s="34" t="n">
        <f aca="false">Assumptions!$B$12*Assumptions!$B$13+C9*Assumptions!$B$42*Assumptions!$B$15/1048576</f>
        <v>683.423316364082</v>
      </c>
      <c r="J9" s="34" t="n">
        <f aca="false">3*Assumptions!$B$21*365*Assumptions!$B$43*Assumptions!$B$15/1048576</f>
        <v>324.142867007358</v>
      </c>
      <c r="K9" s="46" t="n">
        <f aca="false">H9+I9+J9</f>
        <v>2296.26519626174</v>
      </c>
      <c r="L9" s="34" t="n">
        <f aca="false">K9*Assumptions!$B$26</f>
        <v>688.879558878521</v>
      </c>
      <c r="M9" s="32" t="n">
        <f aca="false">(L9*Assumptions!$B$27+K9*Assumptions!$B$28*Assumptions!$B$26*Assumptions!$B$29)/1024</f>
        <v>9.88918897999439</v>
      </c>
      <c r="N9" s="32" t="n">
        <f aca="false">C9*Assumptions!$B$10/1048576</f>
        <v>21.3074684143066</v>
      </c>
      <c r="O9" s="47" t="n">
        <f aca="false">F9+N9</f>
        <v>1475.89731216431</v>
      </c>
    </row>
    <row r="10" customFormat="false" ht="15" hidden="false" customHeight="false" outlineLevel="0" collapsed="false">
      <c r="A10" s="10" t="str">
        <f aca="false">""&amp;(Assumptions!$B$8+4)</f>
        <v>2030</v>
      </c>
      <c r="B10" s="34" t="n">
        <f aca="false">B9*(1+$D$4)</f>
        <v>299475</v>
      </c>
      <c r="C10" s="34" t="n">
        <f aca="false">C9+B10</f>
        <v>1044225</v>
      </c>
      <c r="D10" s="45" t="n">
        <f aca="false">Assumptions!$B$9</f>
        <v>2</v>
      </c>
      <c r="E10" s="32" t="n">
        <f aca="false">B10*D10/1024</f>
        <v>584.912109375</v>
      </c>
      <c r="F10" s="32" t="n">
        <f aca="false">C10*D10/1024</f>
        <v>2039.501953125</v>
      </c>
      <c r="G10" s="35" t="n">
        <f aca="false">B10/B9-1</f>
        <v>0.1</v>
      </c>
      <c r="H10" s="34" t="n">
        <f aca="false">Assumptions!$B$12*(1-Assumptions!$B$13)+C10*Assumptions!$B$41*Assumptions!$B$15/1048576</f>
        <v>1793.83523227307</v>
      </c>
      <c r="I10" s="34" t="n">
        <f aca="false">Assumptions!$B$12*Assumptions!$B$13+C10*Assumptions!$B$42*Assumptions!$B$15/1048576</f>
        <v>951.200939953386</v>
      </c>
      <c r="J10" s="34" t="n">
        <f aca="false">4*Assumptions!$B$21*365*Assumptions!$B$43*Assumptions!$B$15/1048576</f>
        <v>432.190489343144</v>
      </c>
      <c r="K10" s="46" t="n">
        <f aca="false">H10+I10+J10</f>
        <v>3177.2266615696</v>
      </c>
      <c r="L10" s="34" t="n">
        <f aca="false">K10*Assumptions!$B$26</f>
        <v>953.16799847088</v>
      </c>
      <c r="M10" s="32" t="n">
        <f aca="false">(L10*Assumptions!$B$27+K10*Assumptions!$B$28*Assumptions!$B$26*Assumptions!$B$29)/1024</f>
        <v>13.6831734155488</v>
      </c>
      <c r="N10" s="32" t="n">
        <f aca="false">C10*Assumptions!$B$10/1048576</f>
        <v>29.8755168914795</v>
      </c>
      <c r="O10" s="47" t="n">
        <f aca="false">F10+N10</f>
        <v>2069.37747001648</v>
      </c>
    </row>
    <row r="11" customFormat="false" ht="15" hidden="false" customHeight="false" outlineLevel="0" collapsed="false">
      <c r="A11" s="10" t="str">
        <f aca="false">""&amp;(Assumptions!$B$8+5)</f>
        <v>2031</v>
      </c>
      <c r="B11" s="34" t="n">
        <f aca="false">B10*(1+$D$4)</f>
        <v>329422.5</v>
      </c>
      <c r="C11" s="34" t="n">
        <f aca="false">C10+B11</f>
        <v>1373647.5</v>
      </c>
      <c r="D11" s="45" t="n">
        <f aca="false">Assumptions!$B$9</f>
        <v>2</v>
      </c>
      <c r="E11" s="32" t="n">
        <f aca="false">B11*D11/1024</f>
        <v>643.4033203125</v>
      </c>
      <c r="F11" s="32" t="n">
        <f aca="false">C11*D11/1024</f>
        <v>2682.9052734375</v>
      </c>
      <c r="G11" s="35" t="n">
        <f aca="false">B11/B10-1</f>
        <v>0.1</v>
      </c>
      <c r="H11" s="34" t="n">
        <f aca="false">Assumptions!$B$12*(1-Assumptions!$B$13)+C11*Assumptions!$B$41*Assumptions!$B$15/1048576</f>
        <v>2349.48507359412</v>
      </c>
      <c r="I11" s="34" t="n">
        <f aca="false">Assumptions!$B$12*Assumptions!$B$13+C11*Assumptions!$B$42*Assumptions!$B$15/1048576</f>
        <v>1245.75632590162</v>
      </c>
      <c r="J11" s="34" t="n">
        <f aca="false">5*Assumptions!$B$21*365*Assumptions!$B$43*Assumptions!$B$15/1048576</f>
        <v>540.238111678929</v>
      </c>
      <c r="K11" s="46" t="n">
        <f aca="false">H11+I11+J11</f>
        <v>4135.47951117467</v>
      </c>
      <c r="L11" s="34" t="n">
        <f aca="false">K11*Assumptions!$B$26</f>
        <v>1240.6438533524</v>
      </c>
      <c r="M11" s="32" t="n">
        <f aca="false">(L11*Assumptions!$B$27+K11*Assumptions!$B$28*Assumptions!$B$26*Assumptions!$B$29)/1024</f>
        <v>17.81002406668</v>
      </c>
      <c r="N11" s="32" t="n">
        <f aca="false">C11*Assumptions!$B$10/1048576</f>
        <v>39.3003702163696</v>
      </c>
      <c r="O11" s="47" t="n">
        <f aca="false">F11+N11</f>
        <v>2722.20564365387</v>
      </c>
    </row>
    <row r="13" customFormat="false" ht="15" hidden="false" customHeight="false" outlineLevel="0" collapsed="false">
      <c r="A13" s="2" t="s">
        <v>410</v>
      </c>
    </row>
    <row r="14" customFormat="false" ht="15" hidden="false" customHeight="false" outlineLevel="0" collapsed="false">
      <c r="A14" s="2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413</v>
      </c>
    </row>
    <row r="4" customFormat="false" ht="15" hidden="false" customHeight="false" outlineLevel="0" collapsed="false">
      <c r="A4" s="7" t="s">
        <v>414</v>
      </c>
      <c r="B4" s="7" t="s">
        <v>19</v>
      </c>
      <c r="C4" s="7" t="s">
        <v>415</v>
      </c>
    </row>
    <row r="5" customFormat="false" ht="15" hidden="false" customHeight="false" outlineLevel="0" collapsed="false">
      <c r="A5" s="8" t="s">
        <v>416</v>
      </c>
      <c r="B5" s="9"/>
      <c r="C5" s="9"/>
    </row>
    <row r="6" customFormat="false" ht="15" hidden="false" customHeight="false" outlineLevel="0" collapsed="false">
      <c r="A6" s="10" t="s">
        <v>417</v>
      </c>
      <c r="B6" s="19" t="n">
        <f aca="false">'5-year projection'!K11</f>
        <v>4135.47951117467</v>
      </c>
      <c r="C6" s="12" t="s">
        <v>418</v>
      </c>
    </row>
    <row r="7" customFormat="false" ht="15" hidden="false" customHeight="false" outlineLevel="0" collapsed="false">
      <c r="A7" s="10" t="s">
        <v>419</v>
      </c>
      <c r="B7" s="19" t="n">
        <f aca="false">'5-year projection'!J11</f>
        <v>540.238111678929</v>
      </c>
      <c r="C7" s="12" t="s">
        <v>420</v>
      </c>
    </row>
    <row r="8" customFormat="false" ht="15" hidden="false" customHeight="false" outlineLevel="0" collapsed="false">
      <c r="A8" s="10" t="s">
        <v>421</v>
      </c>
      <c r="B8" s="34" t="n">
        <f aca="false">Assumptions!$B$21*Assumptions!$B$24*Assumptions!$B$43*Assumptions!$B$15/1048576</f>
        <v>26.6418794800568</v>
      </c>
      <c r="C8" s="12" t="s">
        <v>422</v>
      </c>
    </row>
    <row r="9" customFormat="false" ht="15" hidden="false" customHeight="false" outlineLevel="0" collapsed="false">
      <c r="A9" s="10" t="s">
        <v>423</v>
      </c>
      <c r="B9" s="34" t="n">
        <f aca="false">B6-B7+B8</f>
        <v>3621.8832789758</v>
      </c>
      <c r="C9" s="12" t="s">
        <v>424</v>
      </c>
    </row>
    <row r="10" customFormat="false" ht="15" hidden="false" customHeight="false" outlineLevel="0" collapsed="false">
      <c r="A10" s="10" t="s">
        <v>425</v>
      </c>
      <c r="B10" s="32" t="n">
        <f aca="false">B6*Assumptions!$B$32/1024+Assumptions!$B$33</f>
        <v>16.077108420263</v>
      </c>
      <c r="C10" s="12" t="s">
        <v>426</v>
      </c>
    </row>
    <row r="11" customFormat="false" ht="15" hidden="false" customHeight="false" outlineLevel="0" collapsed="false">
      <c r="A11" s="10" t="s">
        <v>427</v>
      </c>
      <c r="B11" s="48" t="n">
        <f aca="false">MAX(20,ROUNDUP(B10/10,0)*10)</f>
        <v>20</v>
      </c>
      <c r="C11" s="12" t="s">
        <v>428</v>
      </c>
    </row>
    <row r="12" customFormat="false" ht="15" hidden="false" customHeight="false" outlineLevel="0" collapsed="false">
      <c r="A12" s="10" t="s">
        <v>429</v>
      </c>
      <c r="B12" s="32" t="n">
        <f aca="false">B11*Assumptions!$B$34</f>
        <v>14</v>
      </c>
      <c r="C12" s="12" t="s">
        <v>430</v>
      </c>
    </row>
    <row r="13" customFormat="false" ht="15" hidden="false" customHeight="false" outlineLevel="0" collapsed="false">
      <c r="A13" s="10" t="s">
        <v>431</v>
      </c>
      <c r="B13" s="32" t="n">
        <f aca="false">B11*Assumptions!$B$35</f>
        <v>17</v>
      </c>
      <c r="C13" s="12" t="s">
        <v>432</v>
      </c>
    </row>
    <row r="14" customFormat="false" ht="15" hidden="false" customHeight="false" outlineLevel="0" collapsed="false">
      <c r="A14" s="8" t="s">
        <v>433</v>
      </c>
      <c r="B14" s="9"/>
      <c r="C14" s="9"/>
    </row>
    <row r="15" customFormat="false" ht="15" hidden="false" customHeight="false" outlineLevel="0" collapsed="false">
      <c r="A15" s="10" t="s">
        <v>434</v>
      </c>
      <c r="B15" s="19" t="n">
        <f aca="false">'5-year projection'!L11</f>
        <v>1240.6438533524</v>
      </c>
      <c r="C15" s="12" t="s">
        <v>435</v>
      </c>
    </row>
    <row r="16" customFormat="false" ht="15" hidden="false" customHeight="false" outlineLevel="0" collapsed="false">
      <c r="A16" s="10" t="s">
        <v>406</v>
      </c>
      <c r="B16" s="31" t="n">
        <f aca="false">'5-year projection'!M11</f>
        <v>17.81002406668</v>
      </c>
      <c r="C16" s="12" t="s">
        <v>436</v>
      </c>
    </row>
    <row r="17" customFormat="false" ht="15" hidden="false" customHeight="false" outlineLevel="0" collapsed="false">
      <c r="A17" s="8" t="s">
        <v>437</v>
      </c>
      <c r="B17" s="9"/>
      <c r="C17" s="9"/>
    </row>
    <row r="18" customFormat="false" ht="15" hidden="false" customHeight="false" outlineLevel="0" collapsed="false">
      <c r="A18" s="10" t="s">
        <v>438</v>
      </c>
      <c r="B18" s="32" t="n">
        <f aca="false">B6*(1+Assumptions!$B$28)/Assumptions!$B$30/60</f>
        <v>0.723708914455567</v>
      </c>
      <c r="C18" s="12" t="s">
        <v>439</v>
      </c>
    </row>
    <row r="19" customFormat="false" ht="15" hidden="false" customHeight="false" outlineLevel="0" collapsed="false">
      <c r="A19" s="10" t="s">
        <v>440</v>
      </c>
      <c r="B19" s="32" t="n">
        <f aca="false">B18*4</f>
        <v>2.89483565782227</v>
      </c>
      <c r="C19" s="12" t="s">
        <v>441</v>
      </c>
    </row>
    <row r="20" customFormat="false" ht="15" hidden="false" customHeight="false" outlineLevel="0" collapsed="false">
      <c r="A20" s="8" t="s">
        <v>442</v>
      </c>
      <c r="B20" s="9"/>
      <c r="C20" s="9"/>
    </row>
    <row r="21" customFormat="false" ht="15" hidden="false" customHeight="false" outlineLevel="0" collapsed="false">
      <c r="A21" s="10" t="s">
        <v>443</v>
      </c>
      <c r="B21" s="19" t="n">
        <f aca="false">'5-year projection'!O11</f>
        <v>2722.20564365387</v>
      </c>
      <c r="C21" s="12" t="s">
        <v>444</v>
      </c>
    </row>
    <row r="22" customFormat="false" ht="15" hidden="false" customHeight="false" outlineLevel="0" collapsed="false">
      <c r="A22" s="10" t="s">
        <v>445</v>
      </c>
      <c r="B22" s="49" t="n">
        <f aca="false">B21*(1+Assumptions!$B$36)/1024</f>
        <v>3.19008473865688</v>
      </c>
      <c r="C22" s="12" t="s">
        <v>446</v>
      </c>
    </row>
    <row r="24" customFormat="false" ht="15" hidden="false" customHeight="false" outlineLevel="0" collapsed="false">
      <c r="A24" s="50" t="s">
        <v>447</v>
      </c>
    </row>
    <row r="25" customFormat="false" ht="15" hidden="false" customHeight="false" outlineLevel="0" collapsed="false">
      <c r="A25" s="7" t="s">
        <v>448</v>
      </c>
      <c r="B25" s="7" t="s">
        <v>449</v>
      </c>
      <c r="C25" s="7" t="s">
        <v>450</v>
      </c>
    </row>
    <row r="26" customFormat="false" ht="15" hidden="false" customHeight="false" outlineLevel="0" collapsed="false">
      <c r="A26" s="12" t="s">
        <v>451</v>
      </c>
      <c r="B26" s="12" t="s">
        <v>452</v>
      </c>
      <c r="C26" s="12" t="s">
        <v>453</v>
      </c>
    </row>
    <row r="27" customFormat="false" ht="15" hidden="false" customHeight="false" outlineLevel="0" collapsed="false">
      <c r="A27" s="12" t="s">
        <v>454</v>
      </c>
      <c r="B27" s="12" t="s">
        <v>455</v>
      </c>
      <c r="C27" s="12" t="s">
        <v>456</v>
      </c>
    </row>
    <row r="28" customFormat="false" ht="15" hidden="false" customHeight="false" outlineLevel="0" collapsed="false">
      <c r="A28" s="12" t="s">
        <v>457</v>
      </c>
      <c r="B28" s="12" t="s">
        <v>458</v>
      </c>
      <c r="C28" s="12" t="s">
        <v>459</v>
      </c>
    </row>
    <row r="29" customFormat="false" ht="15" hidden="false" customHeight="false" outlineLevel="0" collapsed="false">
      <c r="A29" s="12" t="s">
        <v>460</v>
      </c>
      <c r="B29" s="12" t="s">
        <v>461</v>
      </c>
      <c r="C29" s="12" t="s">
        <v>462</v>
      </c>
    </row>
    <row r="30" customFormat="false" ht="15" hidden="false" customHeight="false" outlineLevel="0" collapsed="false">
      <c r="A30" s="12" t="s">
        <v>463</v>
      </c>
      <c r="B30" s="12" t="s">
        <v>464</v>
      </c>
      <c r="C30" s="12" t="s">
        <v>465</v>
      </c>
    </row>
    <row r="31" customFormat="false" ht="23.85" hidden="false" customHeight="false" outlineLevel="0" collapsed="false">
      <c r="A31" s="12" t="s">
        <v>466</v>
      </c>
      <c r="B31" s="12" t="s">
        <v>467</v>
      </c>
      <c r="C31" s="12" t="s">
        <v>468</v>
      </c>
    </row>
    <row r="32" customFormat="false" ht="15" hidden="false" customHeight="false" outlineLevel="0" collapsed="false">
      <c r="A32" s="12" t="s">
        <v>469</v>
      </c>
      <c r="B32" s="12" t="s">
        <v>470</v>
      </c>
      <c r="C32" s="12" t="s">
        <v>471</v>
      </c>
    </row>
    <row r="33" customFormat="false" ht="15" hidden="false" customHeight="false" outlineLevel="0" collapsed="false">
      <c r="A33" s="12" t="s">
        <v>472</v>
      </c>
      <c r="B33" s="12" t="s">
        <v>473</v>
      </c>
      <c r="C33" s="12" t="s">
        <v>474</v>
      </c>
    </row>
    <row r="34" customFormat="false" ht="15" hidden="false" customHeight="false" outlineLevel="0" collapsed="false">
      <c r="A34" s="12" t="s">
        <v>475</v>
      </c>
      <c r="B34" s="12" t="s">
        <v>476</v>
      </c>
      <c r="C34" s="12" t="s">
        <v>477</v>
      </c>
    </row>
    <row r="35" customFormat="false" ht="23.85" hidden="false" customHeight="false" outlineLevel="0" collapsed="false">
      <c r="A35" s="12" t="s">
        <v>478</v>
      </c>
      <c r="B35" s="12" t="s">
        <v>479</v>
      </c>
      <c r="C35" s="12" t="s">
        <v>480</v>
      </c>
    </row>
    <row r="36" customFormat="false" ht="15" hidden="false" customHeight="false" outlineLevel="0" collapsed="false">
      <c r="A36" s="12" t="s">
        <v>481</v>
      </c>
      <c r="B36" s="12" t="s">
        <v>482</v>
      </c>
      <c r="C36" s="12" t="s">
        <v>483</v>
      </c>
    </row>
    <row r="37" customFormat="false" ht="15" hidden="false" customHeight="false" outlineLevel="0" collapsed="false">
      <c r="A37" s="12" t="s">
        <v>484</v>
      </c>
      <c r="B37" s="12" t="s">
        <v>485</v>
      </c>
      <c r="C37" s="12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487</v>
      </c>
    </row>
    <row r="2" customFormat="false" ht="15" hidden="false" customHeight="false" outlineLevel="0" collapsed="false">
      <c r="A2" s="2" t="s">
        <v>488</v>
      </c>
    </row>
    <row r="4" customFormat="false" ht="15" hidden="false" customHeight="false" outlineLevel="0" collapsed="false">
      <c r="A4" s="7" t="s">
        <v>106</v>
      </c>
      <c r="B4" s="7" t="s">
        <v>489</v>
      </c>
      <c r="C4" s="7" t="s">
        <v>490</v>
      </c>
      <c r="D4" s="7" t="s">
        <v>491</v>
      </c>
      <c r="E4" s="7" t="s">
        <v>492</v>
      </c>
    </row>
    <row r="5" customFormat="false" ht="45" hidden="false" customHeight="true" outlineLevel="0" collapsed="false">
      <c r="A5" s="12" t="s">
        <v>120</v>
      </c>
      <c r="B5" s="12" t="s">
        <v>493</v>
      </c>
      <c r="C5" s="36" t="s">
        <v>494</v>
      </c>
      <c r="D5" s="12" t="s">
        <v>495</v>
      </c>
      <c r="E5" s="51" t="s">
        <v>496</v>
      </c>
    </row>
    <row r="6" customFormat="false" ht="45" hidden="false" customHeight="true" outlineLevel="0" collapsed="false">
      <c r="A6" s="12" t="s">
        <v>120</v>
      </c>
      <c r="B6" s="12" t="s">
        <v>493</v>
      </c>
      <c r="C6" s="36" t="s">
        <v>494</v>
      </c>
      <c r="D6" s="12" t="s">
        <v>497</v>
      </c>
      <c r="E6" s="51" t="s">
        <v>498</v>
      </c>
    </row>
    <row r="7" customFormat="false" ht="45" hidden="false" customHeight="true" outlineLevel="0" collapsed="false">
      <c r="A7" s="12" t="s">
        <v>120</v>
      </c>
      <c r="B7" s="12" t="s">
        <v>493</v>
      </c>
      <c r="C7" s="36" t="s">
        <v>494</v>
      </c>
      <c r="D7" s="12" t="s">
        <v>499</v>
      </c>
      <c r="E7" s="51" t="s">
        <v>500</v>
      </c>
    </row>
    <row r="8" customFormat="false" ht="52.5" hidden="false" customHeight="true" outlineLevel="0" collapsed="false">
      <c r="A8" s="12" t="s">
        <v>120</v>
      </c>
      <c r="B8" s="12" t="s">
        <v>501</v>
      </c>
      <c r="C8" s="36" t="s">
        <v>494</v>
      </c>
      <c r="D8" s="12" t="s">
        <v>502</v>
      </c>
      <c r="E8" s="51" t="s">
        <v>503</v>
      </c>
    </row>
    <row r="9" customFormat="false" ht="67.5" hidden="false" customHeight="true" outlineLevel="0" collapsed="false">
      <c r="A9" s="12" t="s">
        <v>120</v>
      </c>
      <c r="B9" s="12" t="s">
        <v>504</v>
      </c>
      <c r="C9" s="38" t="s">
        <v>505</v>
      </c>
      <c r="D9" s="12" t="s">
        <v>506</v>
      </c>
      <c r="E9" s="51" t="s">
        <v>507</v>
      </c>
    </row>
    <row r="10" customFormat="false" ht="45" hidden="false" customHeight="true" outlineLevel="0" collapsed="false">
      <c r="A10" s="12" t="s">
        <v>120</v>
      </c>
      <c r="B10" s="12" t="s">
        <v>508</v>
      </c>
      <c r="C10" s="38" t="s">
        <v>505</v>
      </c>
      <c r="D10" s="12" t="s">
        <v>509</v>
      </c>
      <c r="E10" s="51" t="s">
        <v>510</v>
      </c>
    </row>
    <row r="11" customFormat="false" ht="45" hidden="false" customHeight="true" outlineLevel="0" collapsed="false">
      <c r="A11" s="12" t="s">
        <v>120</v>
      </c>
      <c r="B11" s="12" t="s">
        <v>511</v>
      </c>
      <c r="C11" s="39" t="s">
        <v>512</v>
      </c>
      <c r="D11" s="12" t="s">
        <v>513</v>
      </c>
      <c r="E11" s="51" t="s">
        <v>514</v>
      </c>
    </row>
    <row r="12" customFormat="false" ht="52.5" hidden="false" customHeight="true" outlineLevel="0" collapsed="false">
      <c r="A12" s="12" t="s">
        <v>166</v>
      </c>
      <c r="B12" s="12" t="s">
        <v>515</v>
      </c>
      <c r="C12" s="38" t="s">
        <v>505</v>
      </c>
      <c r="D12" s="12" t="s">
        <v>516</v>
      </c>
      <c r="E12" s="51" t="s">
        <v>517</v>
      </c>
    </row>
    <row r="13" customFormat="false" ht="45" hidden="false" customHeight="true" outlineLevel="0" collapsed="false">
      <c r="A13" s="12" t="s">
        <v>166</v>
      </c>
      <c r="B13" s="12" t="s">
        <v>511</v>
      </c>
      <c r="C13" s="39" t="s">
        <v>512</v>
      </c>
      <c r="D13" s="12" t="s">
        <v>518</v>
      </c>
      <c r="E13" s="51" t="s">
        <v>519</v>
      </c>
    </row>
    <row r="14" customFormat="false" ht="52.5" hidden="false" customHeight="true" outlineLevel="0" collapsed="false">
      <c r="A14" s="12" t="s">
        <v>166</v>
      </c>
      <c r="B14" s="12" t="s">
        <v>520</v>
      </c>
      <c r="C14" s="39" t="s">
        <v>512</v>
      </c>
      <c r="D14" s="12" t="s">
        <v>521</v>
      </c>
      <c r="E14" s="51" t="s">
        <v>522</v>
      </c>
    </row>
    <row r="15" customFormat="false" ht="45" hidden="false" customHeight="true" outlineLevel="0" collapsed="false">
      <c r="A15" s="12" t="s">
        <v>179</v>
      </c>
      <c r="B15" s="12" t="s">
        <v>511</v>
      </c>
      <c r="C15" s="39" t="s">
        <v>512</v>
      </c>
      <c r="D15" s="12" t="s">
        <v>523</v>
      </c>
      <c r="E15" s="51" t="s">
        <v>524</v>
      </c>
    </row>
    <row r="16" customFormat="false" ht="45" hidden="false" customHeight="true" outlineLevel="0" collapsed="false">
      <c r="A16" s="12" t="s">
        <v>179</v>
      </c>
      <c r="B16" s="12" t="s">
        <v>525</v>
      </c>
      <c r="C16" s="39" t="s">
        <v>512</v>
      </c>
      <c r="D16" s="12" t="s">
        <v>526</v>
      </c>
      <c r="E16" s="51" t="s">
        <v>527</v>
      </c>
    </row>
    <row r="17" customFormat="false" ht="45" hidden="false" customHeight="true" outlineLevel="0" collapsed="false">
      <c r="A17" s="12" t="s">
        <v>224</v>
      </c>
      <c r="B17" s="12" t="s">
        <v>528</v>
      </c>
      <c r="C17" s="52" t="s">
        <v>529</v>
      </c>
      <c r="D17" s="12" t="s">
        <v>530</v>
      </c>
      <c r="E17" s="51" t="s">
        <v>531</v>
      </c>
    </row>
    <row r="18" customFormat="false" ht="45" hidden="false" customHeight="true" outlineLevel="0" collapsed="false">
      <c r="A18" s="12" t="s">
        <v>245</v>
      </c>
      <c r="B18" s="12" t="s">
        <v>493</v>
      </c>
      <c r="C18" s="36" t="s">
        <v>494</v>
      </c>
      <c r="D18" s="12" t="s">
        <v>532</v>
      </c>
      <c r="E18" s="51" t="s">
        <v>533</v>
      </c>
    </row>
    <row r="19" customFormat="false" ht="45" hidden="false" customHeight="true" outlineLevel="0" collapsed="false">
      <c r="A19" s="12" t="s">
        <v>275</v>
      </c>
      <c r="B19" s="12" t="s">
        <v>493</v>
      </c>
      <c r="C19" s="36" t="s">
        <v>494</v>
      </c>
      <c r="D19" s="12" t="s">
        <v>534</v>
      </c>
      <c r="E19" s="51" t="s">
        <v>535</v>
      </c>
    </row>
    <row r="20" customFormat="false" ht="45" hidden="false" customHeight="true" outlineLevel="0" collapsed="false">
      <c r="A20" s="12" t="s">
        <v>262</v>
      </c>
      <c r="B20" s="12" t="s">
        <v>493</v>
      </c>
      <c r="C20" s="36" t="s">
        <v>494</v>
      </c>
      <c r="D20" s="12" t="s">
        <v>536</v>
      </c>
      <c r="E20" s="51" t="s">
        <v>537</v>
      </c>
    </row>
    <row r="21" customFormat="false" ht="45" hidden="false" customHeight="true" outlineLevel="0" collapsed="false">
      <c r="A21" s="12" t="s">
        <v>245</v>
      </c>
      <c r="B21" s="12" t="s">
        <v>538</v>
      </c>
      <c r="C21" s="38" t="s">
        <v>505</v>
      </c>
      <c r="D21" s="12" t="s">
        <v>539</v>
      </c>
      <c r="E21" s="51" t="s">
        <v>540</v>
      </c>
    </row>
    <row r="22" customFormat="false" ht="67.5" hidden="false" customHeight="true" outlineLevel="0" collapsed="false">
      <c r="A22" s="12" t="s">
        <v>541</v>
      </c>
      <c r="B22" s="12" t="s">
        <v>110</v>
      </c>
      <c r="C22" s="38" t="s">
        <v>505</v>
      </c>
      <c r="D22" s="12" t="s">
        <v>542</v>
      </c>
      <c r="E22" s="51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544</v>
      </c>
    </row>
    <row r="3" customFormat="false" ht="15" hidden="false" customHeight="false" outlineLevel="0" collapsed="false">
      <c r="A3" s="7" t="s">
        <v>545</v>
      </c>
      <c r="B3" s="7" t="s">
        <v>2</v>
      </c>
      <c r="C3" s="7" t="s">
        <v>546</v>
      </c>
    </row>
    <row r="4" customFormat="false" ht="150.75" hidden="false" customHeight="true" outlineLevel="0" collapsed="false">
      <c r="A4" s="53" t="s">
        <v>547</v>
      </c>
      <c r="B4" s="12" t="s">
        <v>548</v>
      </c>
      <c r="C4" s="51" t="s">
        <v>549</v>
      </c>
    </row>
    <row r="5" customFormat="false" ht="60" hidden="false" customHeight="true" outlineLevel="0" collapsed="false">
      <c r="A5" s="53" t="s">
        <v>550</v>
      </c>
      <c r="B5" s="12" t="s">
        <v>551</v>
      </c>
      <c r="C5" s="51" t="s">
        <v>552</v>
      </c>
    </row>
    <row r="6" customFormat="false" ht="72.75" hidden="false" customHeight="true" outlineLevel="0" collapsed="false">
      <c r="A6" s="53" t="s">
        <v>553</v>
      </c>
      <c r="B6" s="12" t="s">
        <v>554</v>
      </c>
      <c r="C6" s="51" t="s">
        <v>555</v>
      </c>
    </row>
    <row r="7" customFormat="false" ht="60" hidden="false" customHeight="true" outlineLevel="0" collapsed="false">
      <c r="A7" s="53" t="s">
        <v>556</v>
      </c>
      <c r="B7" s="12" t="s">
        <v>557</v>
      </c>
      <c r="C7" s="51" t="s">
        <v>558</v>
      </c>
    </row>
    <row r="8" customFormat="false" ht="85.5" hidden="false" customHeight="true" outlineLevel="0" collapsed="false">
      <c r="A8" s="53" t="s">
        <v>559</v>
      </c>
      <c r="B8" s="12" t="s">
        <v>560</v>
      </c>
      <c r="C8" s="51" t="s">
        <v>561</v>
      </c>
    </row>
    <row r="9" customFormat="false" ht="72.75" hidden="false" customHeight="true" outlineLevel="0" collapsed="false">
      <c r="A9" s="53" t="s">
        <v>562</v>
      </c>
      <c r="B9" s="12" t="s">
        <v>563</v>
      </c>
      <c r="C9" s="51" t="s">
        <v>564</v>
      </c>
    </row>
    <row r="10" customFormat="false" ht="111.75" hidden="false" customHeight="true" outlineLevel="0" collapsed="false">
      <c r="A10" s="53" t="s">
        <v>565</v>
      </c>
      <c r="B10" s="12" t="s">
        <v>566</v>
      </c>
      <c r="C10" s="51" t="s">
        <v>567</v>
      </c>
    </row>
    <row r="11" customFormat="false" ht="60" hidden="false" customHeight="true" outlineLevel="0" collapsed="false">
      <c r="A11" s="53" t="s">
        <v>568</v>
      </c>
      <c r="B11" s="12" t="s">
        <v>569</v>
      </c>
      <c r="C11" s="51" t="s">
        <v>570</v>
      </c>
    </row>
    <row r="12" customFormat="false" ht="99" hidden="false" customHeight="true" outlineLevel="0" collapsed="false">
      <c r="A12" s="53" t="s">
        <v>571</v>
      </c>
      <c r="B12" s="12" t="s">
        <v>572</v>
      </c>
      <c r="C12" s="51" t="s">
        <v>573</v>
      </c>
    </row>
    <row r="13" customFormat="false" ht="46.5" hidden="false" customHeight="true" outlineLevel="0" collapsed="false">
      <c r="A13" s="53" t="s">
        <v>574</v>
      </c>
      <c r="B13" s="12" t="s">
        <v>575</v>
      </c>
      <c r="C13" s="51" t="s">
        <v>576</v>
      </c>
    </row>
    <row r="14" customFormat="false" ht="72.75" hidden="false" customHeight="true" outlineLevel="0" collapsed="false">
      <c r="A14" s="53" t="s">
        <v>577</v>
      </c>
      <c r="B14" s="12" t="s">
        <v>578</v>
      </c>
      <c r="C14" s="51" t="s">
        <v>579</v>
      </c>
    </row>
    <row r="15" customFormat="false" ht="46.5" hidden="false" customHeight="true" outlineLevel="0" collapsed="false">
      <c r="A15" s="53" t="s">
        <v>580</v>
      </c>
      <c r="B15" s="12" t="s">
        <v>581</v>
      </c>
      <c r="C15" s="51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583</v>
      </c>
    </row>
    <row r="2" customFormat="false" ht="15" hidden="false" customHeight="false" outlineLevel="0" collapsed="false">
      <c r="A2" s="2" t="s">
        <v>584</v>
      </c>
    </row>
    <row r="4" customFormat="false" ht="15" hidden="false" customHeight="false" outlineLevel="0" collapsed="false">
      <c r="A4" s="7" t="s">
        <v>545</v>
      </c>
      <c r="B4" s="7" t="s">
        <v>585</v>
      </c>
      <c r="C4" s="7" t="s">
        <v>586</v>
      </c>
      <c r="D4" s="7" t="s">
        <v>490</v>
      </c>
      <c r="E4" s="7" t="s">
        <v>587</v>
      </c>
      <c r="F4" s="7" t="s">
        <v>588</v>
      </c>
      <c r="G4" s="7" t="s">
        <v>589</v>
      </c>
      <c r="H4" s="7" t="s">
        <v>590</v>
      </c>
    </row>
    <row r="5" customFormat="false" ht="30" hidden="false" customHeight="true" outlineLevel="0" collapsed="false">
      <c r="A5" s="21" t="s">
        <v>591</v>
      </c>
      <c r="B5" s="12" t="s">
        <v>592</v>
      </c>
      <c r="C5" s="10" t="s">
        <v>593</v>
      </c>
      <c r="D5" s="36" t="s">
        <v>494</v>
      </c>
      <c r="E5" s="12" t="s">
        <v>594</v>
      </c>
      <c r="F5" s="17" t="n">
        <v>1</v>
      </c>
      <c r="G5" s="54" t="n">
        <f aca="false">F5*Assumptions!$B$38</f>
        <v>700</v>
      </c>
      <c r="H5" s="10" t="s">
        <v>595</v>
      </c>
    </row>
    <row r="6" customFormat="false" ht="30" hidden="false" customHeight="true" outlineLevel="0" collapsed="false">
      <c r="A6" s="21" t="s">
        <v>596</v>
      </c>
      <c r="B6" s="12" t="s">
        <v>597</v>
      </c>
      <c r="C6" s="10" t="s">
        <v>593</v>
      </c>
      <c r="D6" s="36" t="s">
        <v>494</v>
      </c>
      <c r="E6" s="12" t="s">
        <v>598</v>
      </c>
      <c r="F6" s="17" t="n">
        <v>0.5</v>
      </c>
      <c r="G6" s="54" t="n">
        <f aca="false">F6*Assumptions!$B$38</f>
        <v>350</v>
      </c>
      <c r="H6" s="10" t="s">
        <v>595</v>
      </c>
    </row>
    <row r="7" customFormat="false" ht="30" hidden="false" customHeight="true" outlineLevel="0" collapsed="false">
      <c r="A7" s="21" t="s">
        <v>599</v>
      </c>
      <c r="B7" s="12" t="s">
        <v>600</v>
      </c>
      <c r="C7" s="10" t="s">
        <v>593</v>
      </c>
      <c r="D7" s="36" t="s">
        <v>494</v>
      </c>
      <c r="E7" s="12" t="s">
        <v>601</v>
      </c>
      <c r="F7" s="17" t="n">
        <v>3</v>
      </c>
      <c r="G7" s="54" t="n">
        <f aca="false">F7*Assumptions!$B$38</f>
        <v>2100</v>
      </c>
      <c r="H7" s="10" t="s">
        <v>602</v>
      </c>
    </row>
    <row r="8" customFormat="false" ht="30" hidden="false" customHeight="true" outlineLevel="0" collapsed="false">
      <c r="A8" s="21" t="s">
        <v>603</v>
      </c>
      <c r="B8" s="12" t="s">
        <v>604</v>
      </c>
      <c r="C8" s="10" t="s">
        <v>593</v>
      </c>
      <c r="D8" s="36" t="s">
        <v>494</v>
      </c>
      <c r="E8" s="12" t="s">
        <v>605</v>
      </c>
      <c r="F8" s="17" t="n">
        <v>3</v>
      </c>
      <c r="G8" s="54" t="n">
        <f aca="false">F8*Assumptions!$B$38</f>
        <v>2100</v>
      </c>
      <c r="H8" s="10" t="s">
        <v>606</v>
      </c>
    </row>
    <row r="9" customFormat="false" ht="30" hidden="false" customHeight="true" outlineLevel="0" collapsed="false">
      <c r="A9" s="21" t="s">
        <v>607</v>
      </c>
      <c r="B9" s="12" t="s">
        <v>608</v>
      </c>
      <c r="C9" s="10" t="s">
        <v>593</v>
      </c>
      <c r="D9" s="36" t="s">
        <v>494</v>
      </c>
      <c r="E9" s="12" t="s">
        <v>609</v>
      </c>
      <c r="F9" s="17" t="n">
        <v>3</v>
      </c>
      <c r="G9" s="54" t="n">
        <f aca="false">F9*Assumptions!$B$38</f>
        <v>2100</v>
      </c>
      <c r="H9" s="10" t="s">
        <v>602</v>
      </c>
    </row>
    <row r="10" customFormat="false" ht="30" hidden="false" customHeight="true" outlineLevel="0" collapsed="false">
      <c r="A10" s="21" t="s">
        <v>610</v>
      </c>
      <c r="B10" s="12" t="s">
        <v>611</v>
      </c>
      <c r="C10" s="10" t="s">
        <v>593</v>
      </c>
      <c r="D10" s="36" t="s">
        <v>494</v>
      </c>
      <c r="E10" s="12" t="s">
        <v>612</v>
      </c>
      <c r="F10" s="17" t="n">
        <v>2</v>
      </c>
      <c r="G10" s="54" t="n">
        <f aca="false">F10*Assumptions!$B$38</f>
        <v>1400</v>
      </c>
      <c r="H10" s="10" t="s">
        <v>613</v>
      </c>
    </row>
    <row r="11" customFormat="false" ht="30" hidden="false" customHeight="true" outlineLevel="0" collapsed="false">
      <c r="A11" s="21" t="s">
        <v>614</v>
      </c>
      <c r="B11" s="12" t="s">
        <v>615</v>
      </c>
      <c r="C11" s="10" t="s">
        <v>593</v>
      </c>
      <c r="D11" s="36" t="s">
        <v>494</v>
      </c>
      <c r="E11" s="12" t="s">
        <v>616</v>
      </c>
      <c r="F11" s="17" t="n">
        <v>4</v>
      </c>
      <c r="G11" s="54" t="n">
        <f aca="false">F11*Assumptions!$B$38</f>
        <v>2800</v>
      </c>
      <c r="H11" s="10" t="s">
        <v>617</v>
      </c>
    </row>
    <row r="12" customFormat="false" ht="30" hidden="false" customHeight="true" outlineLevel="0" collapsed="false">
      <c r="A12" s="21" t="s">
        <v>618</v>
      </c>
      <c r="B12" s="12" t="s">
        <v>619</v>
      </c>
      <c r="C12" s="10" t="s">
        <v>593</v>
      </c>
      <c r="D12" s="38" t="s">
        <v>505</v>
      </c>
      <c r="E12" s="12" t="s">
        <v>620</v>
      </c>
      <c r="F12" s="17" t="n">
        <v>2</v>
      </c>
      <c r="G12" s="54" t="n">
        <f aca="false">F12*Assumptions!$B$38</f>
        <v>1400</v>
      </c>
      <c r="H12" s="10" t="s">
        <v>595</v>
      </c>
    </row>
    <row r="13" customFormat="false" ht="30" hidden="false" customHeight="true" outlineLevel="0" collapsed="false">
      <c r="A13" s="21" t="s">
        <v>621</v>
      </c>
      <c r="B13" s="12" t="s">
        <v>622</v>
      </c>
      <c r="C13" s="10" t="s">
        <v>593</v>
      </c>
      <c r="D13" s="38" t="s">
        <v>505</v>
      </c>
      <c r="E13" s="12" t="s">
        <v>623</v>
      </c>
      <c r="F13" s="17" t="n">
        <v>3</v>
      </c>
      <c r="G13" s="54" t="n">
        <f aca="false">F13*Assumptions!$B$38</f>
        <v>2100</v>
      </c>
      <c r="H13" s="10" t="s">
        <v>617</v>
      </c>
    </row>
    <row r="14" customFormat="false" ht="30" hidden="false" customHeight="true" outlineLevel="0" collapsed="false">
      <c r="A14" s="21" t="s">
        <v>624</v>
      </c>
      <c r="B14" s="12" t="s">
        <v>625</v>
      </c>
      <c r="C14" s="10" t="s">
        <v>593</v>
      </c>
      <c r="D14" s="38" t="s">
        <v>505</v>
      </c>
      <c r="E14" s="12" t="s">
        <v>626</v>
      </c>
      <c r="F14" s="17" t="n">
        <v>3</v>
      </c>
      <c r="G14" s="54" t="n">
        <f aca="false">F14*Assumptions!$B$38</f>
        <v>2100</v>
      </c>
      <c r="H14" s="10" t="s">
        <v>627</v>
      </c>
    </row>
    <row r="15" customFormat="false" ht="30" hidden="false" customHeight="true" outlineLevel="0" collapsed="false">
      <c r="A15" s="21" t="s">
        <v>628</v>
      </c>
      <c r="B15" s="12" t="s">
        <v>629</v>
      </c>
      <c r="C15" s="10" t="s">
        <v>630</v>
      </c>
      <c r="D15" s="38" t="s">
        <v>505</v>
      </c>
      <c r="E15" s="12" t="s">
        <v>631</v>
      </c>
      <c r="F15" s="17" t="n">
        <v>1.5</v>
      </c>
      <c r="G15" s="54" t="n">
        <f aca="false">F15*Assumptions!$B$38</f>
        <v>1050</v>
      </c>
      <c r="H15" s="10" t="s">
        <v>602</v>
      </c>
    </row>
    <row r="16" customFormat="false" ht="30" hidden="false" customHeight="true" outlineLevel="0" collapsed="false">
      <c r="A16" s="21" t="s">
        <v>632</v>
      </c>
      <c r="B16" s="12" t="s">
        <v>633</v>
      </c>
      <c r="C16" s="10" t="s">
        <v>630</v>
      </c>
      <c r="D16" s="38" t="s">
        <v>505</v>
      </c>
      <c r="E16" s="12" t="s">
        <v>634</v>
      </c>
      <c r="F16" s="17" t="n">
        <v>2</v>
      </c>
      <c r="G16" s="54" t="n">
        <f aca="false">F16*Assumptions!$B$38</f>
        <v>1400</v>
      </c>
      <c r="H16" s="10" t="s">
        <v>595</v>
      </c>
    </row>
    <row r="17" customFormat="false" ht="30" hidden="false" customHeight="true" outlineLevel="0" collapsed="false">
      <c r="A17" s="21" t="s">
        <v>635</v>
      </c>
      <c r="B17" s="12" t="s">
        <v>636</v>
      </c>
      <c r="C17" s="10" t="s">
        <v>630</v>
      </c>
      <c r="D17" s="38" t="s">
        <v>505</v>
      </c>
      <c r="E17" s="12" t="s">
        <v>637</v>
      </c>
      <c r="F17" s="17" t="n">
        <v>4</v>
      </c>
      <c r="G17" s="54" t="n">
        <f aca="false">F17*Assumptions!$B$38</f>
        <v>2800</v>
      </c>
      <c r="H17" s="10" t="s">
        <v>602</v>
      </c>
    </row>
    <row r="18" customFormat="false" ht="30" hidden="false" customHeight="true" outlineLevel="0" collapsed="false">
      <c r="A18" s="21" t="s">
        <v>638</v>
      </c>
      <c r="B18" s="12" t="s">
        <v>639</v>
      </c>
      <c r="C18" s="10" t="s">
        <v>630</v>
      </c>
      <c r="D18" s="38" t="s">
        <v>505</v>
      </c>
      <c r="E18" s="12" t="s">
        <v>640</v>
      </c>
      <c r="F18" s="17" t="n">
        <v>5</v>
      </c>
      <c r="G18" s="54" t="n">
        <f aca="false">F18*Assumptions!$B$38</f>
        <v>3500</v>
      </c>
      <c r="H18" s="10" t="s">
        <v>641</v>
      </c>
    </row>
    <row r="19" customFormat="false" ht="30" hidden="false" customHeight="true" outlineLevel="0" collapsed="false">
      <c r="A19" s="21" t="s">
        <v>642</v>
      </c>
      <c r="B19" s="12" t="s">
        <v>643</v>
      </c>
      <c r="C19" s="10" t="s">
        <v>630</v>
      </c>
      <c r="D19" s="36" t="s">
        <v>494</v>
      </c>
      <c r="E19" s="12" t="s">
        <v>644</v>
      </c>
      <c r="F19" s="17" t="n">
        <v>10</v>
      </c>
      <c r="G19" s="54" t="n">
        <f aca="false">F19*Assumptions!$B$38</f>
        <v>7000</v>
      </c>
      <c r="H19" s="10" t="s">
        <v>613</v>
      </c>
    </row>
    <row r="20" customFormat="false" ht="30" hidden="false" customHeight="true" outlineLevel="0" collapsed="false">
      <c r="A20" s="21" t="s">
        <v>645</v>
      </c>
      <c r="B20" s="12" t="s">
        <v>646</v>
      </c>
      <c r="C20" s="10" t="s">
        <v>630</v>
      </c>
      <c r="D20" s="39" t="s">
        <v>512</v>
      </c>
      <c r="E20" s="12" t="s">
        <v>647</v>
      </c>
      <c r="F20" s="17" t="n">
        <v>1</v>
      </c>
      <c r="G20" s="54" t="n">
        <f aca="false">F20*Assumptions!$B$38</f>
        <v>700</v>
      </c>
      <c r="H20" s="10" t="s">
        <v>595</v>
      </c>
    </row>
    <row r="21" customFormat="false" ht="30" hidden="false" customHeight="true" outlineLevel="0" collapsed="false">
      <c r="A21" s="21" t="s">
        <v>648</v>
      </c>
      <c r="B21" s="12" t="s">
        <v>649</v>
      </c>
      <c r="C21" s="10" t="s">
        <v>630</v>
      </c>
      <c r="D21" s="39" t="s">
        <v>512</v>
      </c>
      <c r="E21" s="12" t="s">
        <v>650</v>
      </c>
      <c r="F21" s="17" t="n">
        <v>1</v>
      </c>
      <c r="G21" s="54" t="n">
        <f aca="false">F21*Assumptions!$B$38</f>
        <v>700</v>
      </c>
      <c r="H21" s="10" t="s">
        <v>627</v>
      </c>
    </row>
    <row r="22" customFormat="false" ht="30" hidden="false" customHeight="true" outlineLevel="0" collapsed="false">
      <c r="A22" s="21" t="s">
        <v>651</v>
      </c>
      <c r="B22" s="12" t="s">
        <v>652</v>
      </c>
      <c r="C22" s="10" t="s">
        <v>630</v>
      </c>
      <c r="D22" s="39" t="s">
        <v>512</v>
      </c>
      <c r="E22" s="12" t="s">
        <v>653</v>
      </c>
      <c r="F22" s="17" t="n">
        <v>0.5</v>
      </c>
      <c r="G22" s="54" t="n">
        <f aca="false">F22*Assumptions!$B$38</f>
        <v>350</v>
      </c>
      <c r="H22" s="10" t="s">
        <v>627</v>
      </c>
    </row>
    <row r="23" customFormat="false" ht="30" hidden="false" customHeight="true" outlineLevel="0" collapsed="false">
      <c r="A23" s="21" t="s">
        <v>654</v>
      </c>
      <c r="B23" s="12" t="s">
        <v>655</v>
      </c>
      <c r="C23" s="10" t="s">
        <v>630</v>
      </c>
      <c r="D23" s="39" t="s">
        <v>512</v>
      </c>
      <c r="E23" s="12" t="s">
        <v>656</v>
      </c>
      <c r="F23" s="17" t="n">
        <v>1</v>
      </c>
      <c r="G23" s="54" t="n">
        <f aca="false">F23*Assumptions!$B$38</f>
        <v>700</v>
      </c>
      <c r="H23" s="10" t="s">
        <v>627</v>
      </c>
    </row>
    <row r="24" customFormat="false" ht="30" hidden="false" customHeight="true" outlineLevel="0" collapsed="false">
      <c r="A24" s="21" t="s">
        <v>657</v>
      </c>
      <c r="B24" s="12" t="s">
        <v>658</v>
      </c>
      <c r="C24" s="10" t="s">
        <v>659</v>
      </c>
      <c r="D24" s="38" t="s">
        <v>505</v>
      </c>
      <c r="E24" s="12" t="s">
        <v>660</v>
      </c>
      <c r="F24" s="17" t="n">
        <v>8</v>
      </c>
      <c r="G24" s="54" t="n">
        <f aca="false">F24*Assumptions!$B$38</f>
        <v>5600</v>
      </c>
      <c r="H24" s="10" t="s">
        <v>661</v>
      </c>
    </row>
    <row r="25" customFormat="false" ht="30" hidden="false" customHeight="true" outlineLevel="0" collapsed="false">
      <c r="A25" s="21" t="s">
        <v>662</v>
      </c>
      <c r="B25" s="12" t="s">
        <v>663</v>
      </c>
      <c r="C25" s="10" t="s">
        <v>659</v>
      </c>
      <c r="D25" s="38" t="s">
        <v>505</v>
      </c>
      <c r="E25" s="12" t="s">
        <v>664</v>
      </c>
      <c r="F25" s="17" t="n">
        <v>10</v>
      </c>
      <c r="G25" s="54" t="n">
        <f aca="false">F25*Assumptions!$B$38</f>
        <v>7000</v>
      </c>
      <c r="H25" s="10" t="s">
        <v>617</v>
      </c>
    </row>
    <row r="26" customFormat="false" ht="30" hidden="false" customHeight="true" outlineLevel="0" collapsed="false">
      <c r="A26" s="21" t="s">
        <v>665</v>
      </c>
      <c r="B26" s="12" t="s">
        <v>666</v>
      </c>
      <c r="C26" s="10" t="s">
        <v>659</v>
      </c>
      <c r="D26" s="39" t="s">
        <v>512</v>
      </c>
      <c r="E26" s="12" t="s">
        <v>667</v>
      </c>
      <c r="F26" s="17" t="n">
        <v>5</v>
      </c>
      <c r="G26" s="54" t="n">
        <f aca="false">F26*Assumptions!$B$38</f>
        <v>3500</v>
      </c>
      <c r="H26" s="10" t="s">
        <v>668</v>
      </c>
    </row>
    <row r="27" customFormat="false" ht="30" hidden="false" customHeight="true" outlineLevel="0" collapsed="false">
      <c r="A27" s="21" t="s">
        <v>669</v>
      </c>
      <c r="B27" s="12" t="s">
        <v>670</v>
      </c>
      <c r="C27" s="10" t="s">
        <v>659</v>
      </c>
      <c r="D27" s="39" t="s">
        <v>512</v>
      </c>
      <c r="E27" s="12" t="s">
        <v>671</v>
      </c>
      <c r="F27" s="17" t="n">
        <v>2</v>
      </c>
      <c r="G27" s="54" t="n">
        <f aca="false">F27*Assumptions!$B$38</f>
        <v>1400</v>
      </c>
      <c r="H27" s="10" t="s">
        <v>627</v>
      </c>
    </row>
    <row r="28" customFormat="false" ht="30" hidden="false" customHeight="true" outlineLevel="0" collapsed="false">
      <c r="A28" s="21" t="s">
        <v>672</v>
      </c>
      <c r="B28" s="12" t="s">
        <v>673</v>
      </c>
      <c r="C28" s="10" t="s">
        <v>659</v>
      </c>
      <c r="D28" s="39" t="s">
        <v>512</v>
      </c>
      <c r="E28" s="12" t="s">
        <v>623</v>
      </c>
      <c r="F28" s="17" t="n">
        <v>6</v>
      </c>
      <c r="G28" s="54" t="n">
        <f aca="false">F28*Assumptions!$B$38</f>
        <v>4200</v>
      </c>
      <c r="H28" s="10" t="s">
        <v>595</v>
      </c>
    </row>
    <row r="30" customFormat="false" ht="15" hidden="false" customHeight="false" outlineLevel="0" collapsed="false">
      <c r="A30" s="7"/>
      <c r="B30" s="7" t="s">
        <v>674</v>
      </c>
      <c r="C30" s="7" t="s">
        <v>586</v>
      </c>
      <c r="D30" s="7"/>
      <c r="E30" s="7"/>
      <c r="F30" s="7" t="s">
        <v>588</v>
      </c>
      <c r="G30" s="7" t="s">
        <v>589</v>
      </c>
      <c r="H30" s="7"/>
    </row>
    <row r="31" customFormat="false" ht="15" hidden="false" customHeight="false" outlineLevel="0" collapsed="false">
      <c r="B31" s="10" t="s">
        <v>675</v>
      </c>
      <c r="C31" s="10" t="s">
        <v>593</v>
      </c>
      <c r="F31" s="28" t="n">
        <f aca="false">SUMIF($C$5:$C$28,C31,$F$5:$F$28)</f>
        <v>24.5</v>
      </c>
      <c r="G31" s="54" t="n">
        <f aca="false">SUMIF($C$5:$C$28,C31,$G$5:$G$28)</f>
        <v>17150</v>
      </c>
    </row>
    <row r="32" customFormat="false" ht="15" hidden="false" customHeight="false" outlineLevel="0" collapsed="false">
      <c r="B32" s="10" t="s">
        <v>676</v>
      </c>
      <c r="C32" s="10" t="s">
        <v>630</v>
      </c>
      <c r="F32" s="28" t="n">
        <f aca="false">SUMIF($C$5:$C$28,C32,$F$5:$F$28)</f>
        <v>26</v>
      </c>
      <c r="G32" s="54" t="n">
        <f aca="false">SUMIF($C$5:$C$28,C32,$G$5:$G$28)</f>
        <v>18200</v>
      </c>
    </row>
    <row r="33" customFormat="false" ht="15" hidden="false" customHeight="false" outlineLevel="0" collapsed="false">
      <c r="B33" s="10" t="s">
        <v>677</v>
      </c>
      <c r="C33" s="10" t="s">
        <v>659</v>
      </c>
      <c r="F33" s="28" t="n">
        <f aca="false">SUMIF($C$5:$C$28,C33,$F$5:$F$28)</f>
        <v>31</v>
      </c>
      <c r="G33" s="54" t="n">
        <f aca="false">SUMIF($C$5:$C$28,C33,$G$5:$G$28)</f>
        <v>21700</v>
      </c>
    </row>
    <row r="34" customFormat="false" ht="15" hidden="false" customHeight="false" outlineLevel="0" collapsed="false">
      <c r="B34" s="40" t="s">
        <v>389</v>
      </c>
      <c r="F34" s="55" t="n">
        <f aca="false">SUM(F5:F28)</f>
        <v>81.5</v>
      </c>
      <c r="G34" s="56" t="n">
        <f aca="false">SUM(G5:G28)</f>
        <v>57050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2026-10-28T23:13:01Z</dcterms:created>
  <dc:creator>openpyxl</dc:creator>
  <dc:description/>
  <dc:language>en-US</dc:language>
  <cp:lastModifiedBy/>
  <dcterms:modified xsi:type="dcterms:W3CDTF">2026-10-29T00:13:05Z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